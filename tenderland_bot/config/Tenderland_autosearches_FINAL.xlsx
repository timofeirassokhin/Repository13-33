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Карта автопоисков" sheetId="2" state="visible" r:id="rId2"/>
    <sheet xmlns:r="http://schemas.openxmlformats.org/officeDocument/2006/relationships" name="INCLUDE+EXCLUDE" sheetId="3" state="visible" r:id="rId3"/>
    <sheet xmlns:r="http://schemas.openxmlformats.org/officeDocument/2006/relationships" name="EXCLUDE-блоки"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color rgb="00FFFFFF"/>
      <sz val="11"/>
    </font>
    <font>
      <b val="1"/>
    </font>
    <font>
      <b val="1"/>
      <color rgb="001F3864"/>
      <sz val="11"/>
    </font>
    <font>
      <name val="Consolas"/>
      <sz val="9"/>
    </font>
  </fonts>
  <fills count="8">
    <fill>
      <patternFill/>
    </fill>
    <fill>
      <patternFill patternType="gray125"/>
    </fill>
    <fill>
      <patternFill patternType="solid">
        <fgColor rgb="001F3864"/>
      </patternFill>
    </fill>
    <fill>
      <patternFill patternType="solid">
        <fgColor rgb="002E5496"/>
      </patternFill>
    </fill>
    <fill>
      <patternFill patternType="solid">
        <fgColor rgb="00D9E1F2"/>
      </patternFill>
    </fill>
    <fill>
      <patternFill patternType="solid">
        <fgColor rgb="00FFF2CC"/>
      </patternFill>
    </fill>
    <fill>
      <patternFill patternType="solid">
        <fgColor rgb="00FFFFFF"/>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xf>
    <xf numFmtId="0" fontId="3" fillId="4"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0" fontId="0" fillId="0" borderId="1" pivotButton="0" quotePrefix="0" xfId="0"/>
    <xf numFmtId="0" fontId="0" fillId="5" borderId="1" applyAlignment="1" pivotButton="0" quotePrefix="0" xfId="0">
      <alignment vertical="top" wrapText="1"/>
    </xf>
    <xf numFmtId="0" fontId="2"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1" applyAlignment="1" pivotButton="0" quotePrefix="0" xfId="0">
      <alignment vertical="top" wrapText="1"/>
    </xf>
    <xf numFmtId="0" fontId="0" fillId="7" borderId="1" applyAlignment="1" pivotButton="0" quotePrefix="0" xfId="0">
      <alignment horizontal="center" vertical="center" wrapText="1"/>
    </xf>
    <xf numFmtId="0" fontId="0" fillId="7" borderId="1" applyAlignment="1" pivotButton="0" quotePrefix="0" xfId="0">
      <alignment vertical="top" wrapText="1"/>
    </xf>
    <xf numFmtId="0" fontId="4" fillId="4" borderId="0" applyAlignment="1" pivotButton="0" quotePrefix="0" xfId="0">
      <alignment vertical="center"/>
    </xf>
    <xf numFmtId="0" fontId="0" fillId="0" borderId="1" applyAlignment="1" pivotButton="0" quotePrefix="0" xfId="0">
      <alignment horizontal="center" vertical="center" wrapText="1"/>
    </xf>
    <xf numFmtId="0" fontId="5" fillId="0"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39"/>
  <sheetViews>
    <sheetView showGridLines="0" workbookViewId="0">
      <selection activeCell="A1" sqref="A1"/>
    </sheetView>
  </sheetViews>
  <sheetFormatPr baseColWidth="8" defaultRowHeight="15"/>
  <cols>
    <col width="3" customWidth="1" min="1" max="1"/>
    <col width="30" customWidth="1" min="2" max="2"/>
    <col width="70" customWidth="1" min="3" max="3"/>
    <col width="45" customWidth="1" min="4" max="4"/>
  </cols>
  <sheetData>
    <row r="1" ht="32" customHeight="1">
      <c r="B1" s="1" t="inlineStr">
        <is>
          <t>Tenderland — автопоиски Глювекса. Инструкция для менеджера</t>
        </is>
      </c>
    </row>
    <row r="3" ht="22" customHeight="1">
      <c r="B3" s="2" t="inlineStr">
        <is>
          <t>Что это и как пользоваться</t>
        </is>
      </c>
    </row>
    <row r="4">
      <c r="B4" s="3" t="inlineStr">
        <is>
          <t>Файл</t>
        </is>
      </c>
      <c r="C4" s="3" t="inlineStr">
        <is>
          <t>Назначение</t>
        </is>
      </c>
      <c r="D4" s="4" t="inlineStr"/>
    </row>
    <row r="5">
      <c r="B5" s="5" t="inlineStr">
        <is>
          <t>Этот Excel</t>
        </is>
      </c>
      <c r="C5" s="5" t="inlineStr">
        <is>
          <t>Рабочий инструмент: на листе «INCLUDE+EXCLUDE» — готовые строки для копи-паста в поля «Включать» / «Исключать».</t>
        </is>
      </c>
      <c r="D5" s="5" t="inlineStr"/>
    </row>
    <row r="6">
      <c r="B6" s="4" t="inlineStr">
        <is>
          <t>Word-версия</t>
        </is>
      </c>
      <c r="C6" s="4" t="inlineStr">
        <is>
          <t>То же самое + развёрнутые объяснения по каждому блоку (для чтения и онбординга).</t>
        </is>
      </c>
      <c r="D6" s="4" t="inlineStr"/>
    </row>
    <row r="8" ht="22" customHeight="1">
      <c r="B8" s="2" t="inlineStr">
        <is>
          <t>Синтаксис ключевых слов Tenderland</t>
        </is>
      </c>
    </row>
    <row r="9">
      <c r="B9" s="3" t="inlineStr">
        <is>
          <t>Оператор</t>
        </is>
      </c>
      <c r="C9" s="3" t="inlineStr">
        <is>
          <t>Значение</t>
        </is>
      </c>
      <c r="D9" s="3" t="inlineStr">
        <is>
          <t>Пример</t>
        </is>
      </c>
    </row>
    <row r="10">
      <c r="B10" s="4" t="inlineStr">
        <is>
          <t>(пробел)</t>
        </is>
      </c>
      <c r="C10" s="4" t="inlineStr">
        <is>
          <t>OR — любой из терминов</t>
        </is>
      </c>
      <c r="D10" s="4" t="inlineStr">
        <is>
          <t>ВЭЖХ HPLC  → один из двух</t>
        </is>
      </c>
    </row>
    <row r="11">
      <c r="B11" s="4" t="inlineStr">
        <is>
          <t>++</t>
        </is>
      </c>
      <c r="C11" s="4" t="inlineStr">
        <is>
          <t>AND со стеммингом (оба слова в любых формах)</t>
        </is>
      </c>
      <c r="D11" s="4" t="inlineStr">
        <is>
          <t>жидкостн++хроматограф</t>
        </is>
      </c>
    </row>
    <row r="12">
      <c r="B12" s="4" t="inlineStr">
        <is>
          <t>+</t>
        </is>
      </c>
      <c r="C12" s="4" t="inlineStr">
        <is>
          <t>соединение в точную фразу</t>
        </is>
      </c>
      <c r="D12" s="4" t="inlineStr">
        <is>
          <t>тройн+квадрупол</t>
        </is>
      </c>
    </row>
    <row r="13">
      <c r="B13" s="4" t="inlineStr">
        <is>
          <t>=</t>
        </is>
      </c>
      <c r="C13" s="4" t="inlineStr">
        <is>
          <t>точное совпадение, отключает русскую морфологию</t>
        </is>
      </c>
      <c r="D13" s="4">
        <f>HPLC  =ICP-MS  =PGT-A</f>
        <v/>
      </c>
    </row>
    <row r="15" ht="22" customHeight="1">
      <c r="B15" s="2" t="inlineStr">
        <is>
          <t>Порядок настройки одного автопоиска (повторить для каждого)</t>
        </is>
      </c>
    </row>
    <row r="16">
      <c r="B16" s="5" t="inlineStr">
        <is>
          <t>Шаг 1</t>
        </is>
      </c>
      <c r="C16" s="4" t="inlineStr">
        <is>
          <t>Создать новый автопоиск с именем из колонки «Имя автопоиска» (например 01_LC_LCMS_GPC_Prep).</t>
        </is>
      </c>
      <c r="D16" s="6" t="n"/>
    </row>
    <row r="17">
      <c r="B17" s="5" t="inlineStr">
        <is>
          <t>Шаг 2</t>
        </is>
      </c>
      <c r="C17" s="4" t="inlineStr">
        <is>
          <t>Добавить ОДИН фильтр «Поиск по ключевым словам». В «Включать» вставить строку INCLUDE, в «Исключать» — строку EXCLUDE (целиком, одной строкой).</t>
        </is>
      </c>
      <c r="D17" s="6" t="n"/>
    </row>
    <row r="18">
      <c r="B18" s="5" t="inlineStr">
        <is>
          <t>Шаг 3</t>
        </is>
      </c>
      <c r="C18" s="4" t="inlineStr">
        <is>
          <t>Добавить фильтр «Дата публикации» (range): от = СЕГОДНЯ−7 дней, до = пусто.</t>
        </is>
      </c>
      <c r="D18" s="6" t="n"/>
    </row>
    <row r="19">
      <c r="B19" s="5" t="inlineStr">
        <is>
          <t>Шаг 4</t>
        </is>
      </c>
      <c r="C19" s="4" t="inlineStr">
        <is>
          <t>Добавить фильтр «Дата окончания подачи» (range): от = СЕГОДНЯ, до = пусто.</t>
        </is>
      </c>
      <c r="D19" s="6" t="n"/>
    </row>
    <row r="20">
      <c r="B20" s="5" t="inlineStr">
        <is>
          <t>Шаг 5</t>
        </is>
      </c>
      <c r="C20" s="4" t="inlineStr">
        <is>
          <t>Сохранить → скопировать id из URL (?id=XXXXX).</t>
        </is>
      </c>
      <c r="D20" s="6" t="n"/>
    </row>
    <row r="21">
      <c r="B21" s="5" t="inlineStr">
        <is>
          <t>Шаг 6</t>
        </is>
      </c>
      <c r="C21" s="4" t="inlineStr">
        <is>
          <t>Прислать список пар «имя → id» (для внесения в autosearches.toml).</t>
        </is>
      </c>
      <c r="D21" s="6" t="n"/>
    </row>
    <row r="23" ht="22" customHeight="1">
      <c r="B23" s="2" t="inlineStr">
        <is>
          <t>Глобальные параметры (одинаковы для всех автопоисков)</t>
        </is>
      </c>
    </row>
    <row r="24">
      <c r="B24" s="3" t="inlineStr">
        <is>
          <t>Параметр</t>
        </is>
      </c>
      <c r="C24" s="3" t="inlineStr">
        <is>
          <t>Значение</t>
        </is>
      </c>
      <c r="D24" s="3" t="inlineStr">
        <is>
          <t>Комментарий</t>
        </is>
      </c>
    </row>
    <row r="25">
      <c r="B25" s="4" t="inlineStr">
        <is>
          <t>Фильтр «Включать»</t>
        </is>
      </c>
      <c r="C25" s="4" t="inlineStr">
        <is>
          <t>tender_keywords_include (id 136, тип text)</t>
        </is>
      </c>
      <c r="D25" s="4" t="inlineStr">
        <is>
          <t>Полнотекст по name + notification + files</t>
        </is>
      </c>
    </row>
    <row r="26">
      <c r="B26" s="4" t="inlineStr">
        <is>
          <t>Фильтр «Исключать»</t>
        </is>
      </c>
      <c r="C26" s="4" t="inlineStr">
        <is>
          <t>tender_keywords_exclude (id 137, тип text)</t>
        </is>
      </c>
      <c r="D26" s="4" t="inlineStr">
        <is>
          <t>То же поле</t>
        </is>
      </c>
    </row>
    <row r="27">
      <c r="B27" s="4" t="inlineStr">
        <is>
          <t>Тип закупки</t>
        </is>
      </c>
      <c r="C27" s="4" t="inlineStr">
        <is>
          <t>Все: 44-ФЗ, 223-ФЗ, коммерческие, СНГ</t>
        </is>
      </c>
      <c r="D27" s="4" t="inlineStr">
        <is>
          <t>Не ограничивать</t>
        </is>
      </c>
    </row>
    <row r="28">
      <c r="B28" s="4" t="inlineStr">
        <is>
          <t>Регион</t>
        </is>
      </c>
      <c r="C28" s="4" t="inlineStr">
        <is>
          <t>Все регионы РФ + СНГ</t>
        </is>
      </c>
      <c r="D28" s="4" t="inlineStr">
        <is>
          <t>Не ограничивать</t>
        </is>
      </c>
    </row>
    <row r="29">
      <c r="B29" s="4" t="inlineStr">
        <is>
          <t>Дата публикации</t>
        </is>
      </c>
      <c r="C29" s="4" t="inlineStr">
        <is>
          <t>range: от = СЕГОДНЯ−7, до = пусто</t>
        </is>
      </c>
      <c r="D29" s="4" t="inlineStr">
        <is>
          <t>Скользящее окно с буфером на сбои</t>
        </is>
      </c>
    </row>
    <row r="30">
      <c r="B30" s="4" t="inlineStr">
        <is>
          <t>Дата окончания подачи</t>
        </is>
      </c>
      <c r="C30" s="4" t="inlineStr">
        <is>
          <t>range: от = СЕГОДНЯ, до = пусто</t>
        </is>
      </c>
      <c r="D30" s="4" t="inlineStr">
        <is>
          <t>Только активные тендеры</t>
        </is>
      </c>
    </row>
    <row r="31">
      <c r="B31" s="4" t="inlineStr">
        <is>
          <t>Сортировка</t>
        </is>
      </c>
      <c r="C31" s="4" t="inlineStr">
        <is>
          <t>tender_sysPublishDate.desc</t>
        </is>
      </c>
      <c r="D31" s="4" t="inlineStr">
        <is>
          <t>Новые сверху</t>
        </is>
      </c>
    </row>
    <row r="32">
      <c r="B32" s="4" t="inlineStr">
        <is>
          <t>Ключ дедупликации (CLI)</t>
        </is>
      </c>
      <c r="C32" s="4" t="inlineStr">
        <is>
          <t>tender_id (формат TL*)</t>
        </is>
      </c>
      <c r="D32" s="4" t="inlineStr">
        <is>
          <t>НЕ regNumber</t>
        </is>
      </c>
    </row>
    <row r="33">
      <c r="B33" s="4" t="inlineStr">
        <is>
          <t>Частота прогона</t>
        </is>
      </c>
      <c r="C33" s="4" t="inlineStr">
        <is>
          <t>1 раз в сутки в рабочие дни (cron 0 8 * * 1-5)</t>
        </is>
      </c>
      <c r="D33" s="4" t="inlineStr">
        <is>
          <t>Внутри free-tier API</t>
        </is>
      </c>
    </row>
    <row r="35" ht="22" customHeight="1">
      <c r="B35" s="2" t="inlineStr">
        <is>
          <t>Важно / частые ошибки</t>
        </is>
      </c>
    </row>
    <row r="36" ht="30" customHeight="1">
      <c r="B36" s="7" t="inlineStr">
        <is>
          <t>•  Каждую строку вставлять ОДНОЙ строкой, без переносов. После вставки проверить, что внутрь не попал \n.</t>
        </is>
      </c>
    </row>
    <row r="37" ht="30" customHeight="1">
      <c r="B37" s="7" t="inlineStr">
        <is>
          <t>•  Tenderland хранит АБСОЛЮТНЫЕ даты — раз в неделю вручную обновлять «от» в фильтрах дат.</t>
        </is>
      </c>
    </row>
    <row r="38" ht="30" customHeight="1">
      <c r="B38" s="7" t="inlineStr">
        <is>
          <t>•  Дубли одного тендера между автопоисками — это нормально, CLI дедуплицирует по tender_id.</t>
        </is>
      </c>
    </row>
    <row r="39" ht="30" customHeight="1">
      <c r="B39" s="7" t="inlineStr">
        <is>
          <t>•  Через 1 неделю работы пройтись по «Чеклисту после первого прогона» в исходных .md и подкрутить EXCLUDE.</t>
        </is>
      </c>
    </row>
  </sheetData>
  <mergeCells count="16">
    <mergeCell ref="C20:D20"/>
    <mergeCell ref="B3:D3"/>
    <mergeCell ref="B36:D36"/>
    <mergeCell ref="B37:D37"/>
    <mergeCell ref="C21:D21"/>
    <mergeCell ref="C16:D16"/>
    <mergeCell ref="B23:D23"/>
    <mergeCell ref="B1:D1"/>
    <mergeCell ref="B8:D8"/>
    <mergeCell ref="B35:D35"/>
    <mergeCell ref="C19:D19"/>
    <mergeCell ref="C18:D18"/>
    <mergeCell ref="B15:D15"/>
    <mergeCell ref="B39:D39"/>
    <mergeCell ref="C17:D17"/>
    <mergeCell ref="B38:D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2" topLeftCell="A3" activePane="bottomLeft" state="frozen"/>
      <selection pane="bottomLeft" activeCell="A1" sqref="A1"/>
    </sheetView>
  </sheetViews>
  <sheetFormatPr baseColWidth="8" defaultRowHeight="15"/>
  <cols>
    <col width="5" customWidth="1" min="1" max="1"/>
    <col width="34" customWidth="1" min="2" max="2"/>
    <col width="28" customWidth="1" min="3" max="3"/>
    <col width="60" customWidth="1" min="4" max="4"/>
    <col width="14" customWidth="1" min="5" max="5"/>
  </cols>
  <sheetData>
    <row r="1" ht="28" customHeight="1">
      <c r="A1" s="1" t="inlineStr">
        <is>
          <t>Карта всех автопоисков (19 основных + 4 опциональных)</t>
        </is>
      </c>
    </row>
    <row r="2">
      <c r="A2" s="8" t="inlineStr">
        <is>
          <t>№</t>
        </is>
      </c>
      <c r="B2" s="8" t="inlineStr">
        <is>
          <t>Имя автопоиска</t>
        </is>
      </c>
      <c r="C2" s="8" t="inlineStr">
        <is>
          <t>Группа</t>
        </is>
      </c>
      <c r="D2" s="8" t="inlineStr">
        <is>
          <t>Что ищем</t>
        </is>
      </c>
      <c r="E2" s="8" t="inlineStr">
        <is>
          <t>Статус</t>
        </is>
      </c>
    </row>
    <row r="3">
      <c r="A3" s="9" t="n">
        <v>1</v>
      </c>
      <c r="B3" s="10" t="inlineStr">
        <is>
          <t>01_LC_LCMS_GPC_Prep</t>
        </is>
      </c>
      <c r="C3" s="10" t="inlineStr">
        <is>
          <t>Инструментальная аналитика</t>
        </is>
      </c>
      <c r="D3" s="10" t="inlineStr">
        <is>
          <t>ВЭЖХ / УВЭЖХ, ЖХ-МС/МС, ГПХ (SEC/GPC), препаративная хроматография</t>
        </is>
      </c>
      <c r="E3" s="9" t="inlineStr">
        <is>
          <t>основной</t>
        </is>
      </c>
    </row>
    <row r="4">
      <c r="A4" s="9" t="n">
        <v>2</v>
      </c>
      <c r="B4" s="10" t="inlineStr">
        <is>
          <t>02_GC_GCMS</t>
        </is>
      </c>
      <c r="C4" s="10" t="inlineStr">
        <is>
          <t>Инструментальная аналитика</t>
        </is>
      </c>
      <c r="D4" s="10" t="inlineStr">
        <is>
          <t>ГХ, ГХ-МС/МС, детекторы FID/ECD/NPD/TCD, пиролизеры, парофаза/SPME</t>
        </is>
      </c>
      <c r="E4" s="9" t="inlineStr">
        <is>
          <t>основной</t>
        </is>
      </c>
    </row>
    <row r="5">
      <c r="A5" s="9" t="n">
        <v>3</v>
      </c>
      <c r="B5" s="10" t="inlineStr">
        <is>
          <t>03_ICP_OES</t>
        </is>
      </c>
      <c r="C5" s="10" t="inlineStr">
        <is>
          <t>Инструментальная аналитика</t>
        </is>
      </c>
      <c r="D5" s="10" t="inlineStr">
        <is>
          <t>ИСП-ОЭС / ИСП-АЭС (оптико-эмиссионная с плазмой)</t>
        </is>
      </c>
      <c r="E5" s="9" t="inlineStr">
        <is>
          <t>основной</t>
        </is>
      </c>
    </row>
    <row r="6">
      <c r="A6" s="9" t="n">
        <v>4</v>
      </c>
      <c r="B6" s="10" t="inlineStr">
        <is>
          <t>04_AAS</t>
        </is>
      </c>
      <c r="C6" s="10" t="inlineStr">
        <is>
          <t>Инструментальная аналитика</t>
        </is>
      </c>
      <c r="D6" s="10" t="inlineStr">
        <is>
          <t>Атомно-абсорбционная спектрометрия (пламя + ЭТА/графит)</t>
        </is>
      </c>
      <c r="E6" s="9" t="inlineStr">
        <is>
          <t>основной</t>
        </is>
      </c>
    </row>
    <row r="7">
      <c r="A7" s="9" t="n">
        <v>5</v>
      </c>
      <c r="B7" s="10" t="inlineStr">
        <is>
          <t>05_ICP_MS</t>
        </is>
      </c>
      <c r="C7" s="10" t="inlineStr">
        <is>
          <t>Инструментальная аналитика</t>
        </is>
      </c>
      <c r="D7" s="10" t="inlineStr">
        <is>
          <t>ИСП-МС, тандем QQQ, секторные HR-ICP-MS</t>
        </is>
      </c>
      <c r="E7" s="9" t="inlineStr">
        <is>
          <t>основной</t>
        </is>
      </c>
    </row>
    <row r="8">
      <c r="A8" s="9" t="n">
        <v>6</v>
      </c>
      <c r="B8" s="10" t="inlineStr">
        <is>
          <t>06_IC</t>
        </is>
      </c>
      <c r="C8" s="10" t="inlineStr">
        <is>
          <t>Инструментальная аналитика</t>
        </is>
      </c>
      <c r="D8" s="10" t="inlineStr">
        <is>
          <t>Ионная хроматография (анионная/катионная, кондуктометрия, супрессор)</t>
        </is>
      </c>
      <c r="E8" s="9" t="inlineStr">
        <is>
          <t>основной</t>
        </is>
      </c>
    </row>
    <row r="9">
      <c r="A9" s="9" t="n">
        <v>7</v>
      </c>
      <c r="B9" s="10" t="inlineStr">
        <is>
          <t>07_UV_Vis</t>
        </is>
      </c>
      <c r="C9" s="10" t="inlineStr">
        <is>
          <t>Инструментальная аналитика</t>
        </is>
      </c>
      <c r="D9" s="10" t="inlineStr">
        <is>
          <t>УФ-видимая спектрофотометрия (двухлучевые, диод-матрица, NIR)</t>
        </is>
      </c>
      <c r="E9" s="9" t="inlineStr">
        <is>
          <t>основной</t>
        </is>
      </c>
    </row>
    <row r="10">
      <c r="A10" s="9" t="n">
        <v>8</v>
      </c>
      <c r="B10" s="10" t="inlineStr">
        <is>
          <t>08_FTIR</t>
        </is>
      </c>
      <c r="C10" s="10" t="inlineStr">
        <is>
          <t>Инструментальная аналитика</t>
        </is>
      </c>
      <c r="D10" s="10" t="inlineStr">
        <is>
          <t>ФТИР / ИК-Фурье, ИК-микроскопия, НПВО/ATR</t>
        </is>
      </c>
      <c r="E10" s="9" t="inlineStr">
        <is>
          <t>основной</t>
        </is>
      </c>
    </row>
    <row r="11">
      <c r="A11" s="11" t="n">
        <v>9</v>
      </c>
      <c r="B11" s="12" t="inlineStr">
        <is>
          <t>09_Service</t>
        </is>
      </c>
      <c r="C11" s="12" t="inlineStr">
        <is>
          <t>Инструментальная аналитика</t>
        </is>
      </c>
      <c r="D11" s="12" t="inlineStr">
        <is>
          <t>Сервис / поверка / IQ-OQ-PQ на приборы 01–08</t>
        </is>
      </c>
      <c r="E11" s="11" t="inlineStr">
        <is>
          <t>опц.</t>
        </is>
      </c>
    </row>
    <row r="12">
      <c r="A12" s="11" t="n">
        <v>10</v>
      </c>
      <c r="B12" s="12" t="inlineStr">
        <is>
          <t>10_Consumables</t>
        </is>
      </c>
      <c r="C12" s="12" t="inlineStr">
        <is>
          <t>Инструментальная аналитика</t>
        </is>
      </c>
      <c r="D12" s="12" t="inlineStr">
        <is>
          <t>Расходники: колонки, картриджи, лампы, кюветы, ГСО</t>
        </is>
      </c>
      <c r="E12" s="11" t="inlineStr">
        <is>
          <t>опц.</t>
        </is>
      </c>
    </row>
    <row r="13">
      <c r="A13" s="9" t="n">
        <v>11</v>
      </c>
      <c r="B13" s="10" t="inlineStr">
        <is>
          <t>MDX_01_Sequencers</t>
        </is>
      </c>
      <c r="C13" s="10" t="inlineStr">
        <is>
          <t>Молекулярная диагностика</t>
        </is>
      </c>
      <c r="D13" s="10" t="inlineStr">
        <is>
          <t>NGS-секвенаторы + Sanger CE / капиллярные генетические анализаторы (только ПРИБОРЫ)</t>
        </is>
      </c>
      <c r="E13" s="9" t="inlineStr">
        <is>
          <t>основной</t>
        </is>
      </c>
    </row>
    <row r="14">
      <c r="A14" s="9" t="n">
        <v>12</v>
      </c>
      <c r="B14" s="10" t="inlineStr">
        <is>
          <t>MDX_02_Reagents_Libraries</t>
        </is>
      </c>
      <c r="C14" s="10" t="inlineStr">
        <is>
          <t>Молекулярная диагностика</t>
        </is>
      </c>
      <c r="D14" s="10" t="inlineStr">
        <is>
          <t>Расходники секвенирования, library prep, выделение НК, авто-станции</t>
        </is>
      </c>
      <c r="E14" s="9" t="inlineStr">
        <is>
          <t>основной</t>
        </is>
      </c>
    </row>
    <row r="15">
      <c r="A15" s="9" t="n">
        <v>13</v>
      </c>
      <c r="B15" s="10" t="inlineStr">
        <is>
          <t>MDX_03_Oncology_Panels</t>
        </is>
      </c>
      <c r="C15" s="10" t="inlineStr">
        <is>
          <t>Молекулярная диагностика</t>
        </is>
      </c>
      <c r="D15" s="10" t="inlineStr">
        <is>
          <t>Онкопанели и тесты: BRCA/EGFR/KRAS/BRAF/ALK/MSI/HRD/TMB/CGP</t>
        </is>
      </c>
      <c r="E15" s="9" t="inlineStr">
        <is>
          <t>основной</t>
        </is>
      </c>
    </row>
    <row r="16">
      <c r="A16" s="9" t="n">
        <v>14</v>
      </c>
      <c r="B16" s="10" t="inlineStr">
        <is>
          <t>MDX_04_NIPT_PGT_HLA</t>
        </is>
      </c>
      <c r="C16" s="10" t="inlineStr">
        <is>
          <t>Молекулярная диагностика</t>
        </is>
      </c>
      <c r="D16" s="10" t="inlineStr">
        <is>
          <t>НИПТ, ПГТ-А/М, HLA-типирование, биочипы</t>
        </is>
      </c>
      <c r="E16" s="9" t="inlineStr">
        <is>
          <t>основной</t>
        </is>
      </c>
    </row>
    <row r="17">
      <c r="A17" s="9" t="n">
        <v>15</v>
      </c>
      <c r="B17" s="10" t="inlineStr">
        <is>
          <t>MDX_06_Sequencing_Services</t>
        </is>
      </c>
      <c r="C17" s="10" t="inlineStr">
        <is>
          <t>Молекулярная диагностика</t>
        </is>
      </c>
      <c r="D17" s="10" t="inlineStr">
        <is>
          <t>УСЛУГИ секвенирования: CES/WES/WGS, биоинф. интерпретация, аутсорс NGS</t>
        </is>
      </c>
      <c r="E17" s="9" t="inlineStr">
        <is>
          <t>основной</t>
        </is>
      </c>
    </row>
    <row r="18">
      <c r="A18" s="11" t="n">
        <v>16</v>
      </c>
      <c r="B18" s="12" t="inlineStr">
        <is>
          <t>MDX_05_Service</t>
        </is>
      </c>
      <c r="C18" s="12" t="inlineStr">
        <is>
          <t>Молекулярная диагностика</t>
        </is>
      </c>
      <c r="D18" s="12" t="inlineStr">
        <is>
          <t>Сервис ТОЛЬКО Illumina / MGI-DNBSEQ / ABI 3500 (узкий скоуп)</t>
        </is>
      </c>
      <c r="E18" s="11" t="inlineStr">
        <is>
          <t>опц.</t>
        </is>
      </c>
    </row>
    <row r="19">
      <c r="A19" s="9" t="n">
        <v>17</v>
      </c>
      <c r="B19" s="10" t="inlineStr">
        <is>
          <t>LAB_01_Climate</t>
        </is>
      </c>
      <c r="C19" s="10" t="inlineStr">
        <is>
          <t>Общелабораторное</t>
        </is>
      </c>
      <c r="D19" s="10" t="inlineStr">
        <is>
          <t>CO2-инкубаторы, термостаты, сушильные шкафы, климатокамеры, муфельные/трубчатые печи</t>
        </is>
      </c>
      <c r="E19" s="9" t="inlineStr">
        <is>
          <t>основной</t>
        </is>
      </c>
    </row>
    <row r="20">
      <c r="A20" s="9" t="n">
        <v>18</v>
      </c>
      <c r="B20" s="10" t="inlineStr">
        <is>
          <t>LAB_02_Sterilization</t>
        </is>
      </c>
      <c r="C20" s="10" t="inlineStr">
        <is>
          <t>Общелабораторное</t>
        </is>
      </c>
      <c r="D20" s="10" t="inlineStr">
        <is>
          <t>Паровые автоклавы, сухожаровые / плазменные / газовые стерилизаторы</t>
        </is>
      </c>
      <c r="E20" s="9" t="inlineStr">
        <is>
          <t>основной</t>
        </is>
      </c>
    </row>
    <row r="21">
      <c r="A21" s="9" t="n">
        <v>19</v>
      </c>
      <c r="B21" s="10" t="inlineStr">
        <is>
          <t>LAB_03_Evaporation</t>
        </is>
      </c>
      <c r="C21" s="10" t="inlineStr">
        <is>
          <t>Общелабораторное</t>
        </is>
      </c>
      <c r="D21" s="10" t="inlineStr">
        <is>
          <t>Роторные испарители, концентраторы, лиофильные сушилки, ультразвук</t>
        </is>
      </c>
      <c r="E21" s="9" t="inlineStr">
        <is>
          <t>основной</t>
        </is>
      </c>
    </row>
    <row r="22">
      <c r="A22" s="9" t="n">
        <v>20</v>
      </c>
      <c r="B22" s="10" t="inlineStr">
        <is>
          <t>LAB_04_Mixing_Homogenization</t>
        </is>
      </c>
      <c r="C22" s="10" t="inlineStr">
        <is>
          <t>Общелабораторное</t>
        </is>
      </c>
      <c r="D22" s="10" t="inlineStr">
        <is>
          <t>Мешалки (магн./верхнепривод), шейкеры, вортексы, гомогенизаторы, мельницы</t>
        </is>
      </c>
      <c r="E22" s="9" t="inlineStr">
        <is>
          <t>основной</t>
        </is>
      </c>
    </row>
    <row r="23">
      <c r="A23" s="9" t="n">
        <v>21</v>
      </c>
      <c r="B23" s="10" t="inlineStr">
        <is>
          <t>LAB_05_Reactors</t>
        </is>
      </c>
      <c r="C23" s="10" t="inlineStr">
        <is>
          <t>Общелабораторное</t>
        </is>
      </c>
      <c r="D23" s="10" t="inlineStr">
        <is>
          <t>Биореакторы/ферментёры, химические реакторы, синтезаторы, микроволновые</t>
        </is>
      </c>
      <c r="E23" s="9" t="inlineStr">
        <is>
          <t>основной</t>
        </is>
      </c>
    </row>
    <row r="24">
      <c r="A24" s="11" t="n">
        <v>22</v>
      </c>
      <c r="B24" s="12" t="inlineStr">
        <is>
          <t>LAB_06_Weighing_Water_pH</t>
        </is>
      </c>
      <c r="C24" s="12" t="inlineStr">
        <is>
          <t>Общелабораторное</t>
        </is>
      </c>
      <c r="D24" s="12" t="inlineStr">
        <is>
          <t>Аналитические/прецизионные весы, системы очистки воды (Milli-Q), pH/EC/O2-метры</t>
        </is>
      </c>
      <c r="E24" s="11" t="inlineStr">
        <is>
          <t>опц.</t>
        </is>
      </c>
    </row>
    <row r="25">
      <c r="A25" s="9" t="n">
        <v>23</v>
      </c>
      <c r="B25" s="10" t="inlineStr">
        <is>
          <t>CER_01_Capillary_Electrophoresis</t>
        </is>
      </c>
      <c r="C25" s="10" t="inlineStr">
        <is>
          <t>КЭ / центрифуги / роботизация</t>
        </is>
      </c>
      <c r="D25" s="10" t="inlineStr">
        <is>
          <t>Капиллярный электрофорез НЕ для Sanger (CZE/MEKC/CIEF/CGE) — фарма/биохимия</t>
        </is>
      </c>
      <c r="E25" s="9" t="inlineStr">
        <is>
          <t>основной</t>
        </is>
      </c>
    </row>
    <row r="26">
      <c r="A26" s="9" t="n">
        <v>24</v>
      </c>
      <c r="B26" s="10" t="inlineStr">
        <is>
          <t>CER_02_Centrifuges</t>
        </is>
      </c>
      <c r="C26" s="10" t="inlineStr">
        <is>
          <t>КЭ / центрифуги / роботизация</t>
        </is>
      </c>
      <c r="D26" s="10" t="inlineStr">
        <is>
          <t>Лабораторные центрифуги всех классов (настольные, рефрижераторные, ультра, минифуги)</t>
        </is>
      </c>
      <c r="E26" s="9" t="inlineStr">
        <is>
          <t>основной</t>
        </is>
      </c>
    </row>
    <row r="27">
      <c r="A27" s="9" t="n">
        <v>25</v>
      </c>
      <c r="B27" s="10" t="inlineStr">
        <is>
          <t>CER_03_Liquid_Handling_Robotics</t>
        </is>
      </c>
      <c r="C27" s="10" t="inlineStr">
        <is>
          <t>КЭ / центрифуги / роботизация</t>
        </is>
      </c>
      <c r="D27" s="10" t="inlineStr">
        <is>
          <t>Liquid handling роботы, dispensers, автоматизированная NGS-пробоподготовка</t>
        </is>
      </c>
      <c r="E27" s="9" t="inlineStr">
        <is>
          <t>основной</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pane ySplit="2" topLeftCell="A3" activePane="bottomLeft" state="frozen"/>
      <selection pane="bottomLeft" activeCell="A1" sqref="A1"/>
    </sheetView>
  </sheetViews>
  <sheetFormatPr baseColWidth="8" defaultRowHeight="15"/>
  <cols>
    <col width="4" customWidth="1" min="1" max="1"/>
    <col width="30" customWidth="1" min="2" max="2"/>
    <col width="40" customWidth="1" min="3" max="3"/>
    <col width="90" customWidth="1" min="4" max="4"/>
    <col width="34" customWidth="1" min="5" max="5"/>
    <col width="80" customWidth="1" min="6" max="6"/>
  </cols>
  <sheetData>
    <row r="1" ht="28" customHeight="1">
      <c r="A1" s="1" t="inlineStr">
        <is>
          <t>Готовые строки для копи-паста (INCLUDE → «Включать», EXCLUDE → «Исключать»)</t>
        </is>
      </c>
    </row>
    <row r="2">
      <c r="A2" s="8" t="inlineStr">
        <is>
          <t>№</t>
        </is>
      </c>
      <c r="B2" s="8" t="inlineStr">
        <is>
          <t>Имя автопоиска</t>
        </is>
      </c>
      <c r="C2" s="8" t="inlineStr">
        <is>
          <t>Что ищем / бренды</t>
        </is>
      </c>
      <c r="D2" s="8" t="inlineStr">
        <is>
          <t>INCLUDE — вставить в «Включать»</t>
        </is>
      </c>
      <c r="E2" s="8" t="inlineStr">
        <is>
          <t>Какой EXCLUDE</t>
        </is>
      </c>
      <c r="F2" s="8" t="inlineStr">
        <is>
          <t>EXCLUDE — вставить в «Исключать»</t>
        </is>
      </c>
    </row>
    <row r="3">
      <c r="A3" s="13" t="inlineStr">
        <is>
          <t>▎ Инструментальная аналитика</t>
        </is>
      </c>
    </row>
    <row r="4" ht="150" customHeight="1">
      <c r="A4" s="14" t="n">
        <v>1</v>
      </c>
      <c r="B4" s="4" t="inlineStr">
        <is>
          <t>01_LC_LCMS_GPC_Prep</t>
        </is>
      </c>
      <c r="C4" s="4" t="inlineStr">
        <is>
          <t>ВЭЖХ / УВЭЖХ, ЖХ-МС/МС, ГПХ (SEC/GPC), препаративная хроматография
Бренды: Agilent (1100–1290; 6100–6500 MS), Shimadzu (Nexera, LCMS-8060NX/9030), Waters (ACQUITY, Alliance, Xevo, SYNAPT), Thermo (Vanquish, UltiMate, Orbitrap, TSQ), PerkinElmer, SCIEX (Triple Quad, QTRAP, TripleTOF, ZenoTOF)</t>
        </is>
      </c>
      <c r="D4" s="15" t="inlineStr">
        <is>
          <t>жидкостн++хроматограф жидкостной++хроматограф жидкостный++хроматограф хроматограф++жидкостн ВЭЖХ УВЭЖХ УЭЖХ СВЭЖХ высокоэффективн++жидкостн сверхэффективн++жидкостн ультравысокоэффективн++жидкостн ультра-высокоэффективн++жидкостн сверхвысокоэффективн++жидкостн система++ВЭЖХ комплекс++ВЭЖХ хроматограф++комплекс хроматографическ++комплекс хроматографическ++систем =HPLC =UHPLC =UPLC HPLC++system UHPLC++system UPLC++system препаративн++хроматограф препаративн++ВЭЖХ полупрепаративн++хроматограф ГПХ гель-проникающ++хроматограф гельпроникающ++хроматограф эксклюзионн++хроматограф размер-эксклюзионн++хроматограф =SEC =GPC жидкостн++хромато-масс-спектрометр жидкостн++хроматомасс хромато-масс-спектрометр++жидкостн ВЭЖХ-МС ВЭЖХМС ВЭЖХ++МС ВЭЖХ-МС/МС ЖХ-МС ЖХМС ЖХ++МС ЖХ-МС/МС ЖХМСМС УВЭЖХ-МС =LC-MS =LC/MS =LCMS =LC-MS/MS =LCMSMS =HPLC-MS =UHPLC-MS =UPLC-MS HPLC++MS UHPLC++MS UPLC++MS квадрупольн++масс-спектрометр тройн++квадрупол трехквадрупольн трёхквадрупольн тандемн++масс-спектромет Triple++Quad Triple++Quadrupole =QQQ =QqQ время-пролетн++масс-спектромет времяпролетн++масс-спектромет времяпролётн++масс-спектромет квадруполь-времяпролетн квадруполь-времяпролётн =Q-TOF =QTOF =TOF-MS ионн++ловушк =Orbitrap Орбитрэп =FT-MS ФТ-МС высокоразрешающ++масс =HRMS =HRAM диодно-матричн++детектор диодн++матриц фотодиодн++матриц =DAD =PDA УФ-детектор флуоресцентн++детектор рефрактометрическ++детектор =RID испарительн++светорассеян =ELSD =CAD заряженн++аэрозол кондуктометрическ++детектор четверичн++насос бинарн++насос изократическ++насос градиентн++насос термостат++колонок насос++ВЭЖХ автосамплер++хроматограф фракционн++коллектор Agilent Аджилент Агилент Эджилент Эйджилент Эджайлент Agilent++Technologies =MassHunter =InfinityLab =ChemStation =OpenLAB Shimadzu Шимадзу Шимадцу Shimadzu++Corporation =LabSolutions Waters Уотерс Вотерс Ватерс =Acquity =ACQUITY =Alliance =Xevo =MassLynx =Empower waters_connect Thermo Термо Термо++Фишер Термофишер Thermo++Fisher Thermo++Scientific =Vanquish Ванквиш =UltiMate =Ultimate Dionex++UltiMate =Chromeleon =Xcalibur =TraceFinder PerkinElmer Perkin++Elmer ПеркинЭлмер Перкин++Элмер Перкин++Елмер SCIEX Sciex AB++Sciex Сайекс Скаекс =QTRAP =TripleTOF =ZenoTOF =ExionLC Bruker Брукер =Knauer Кнауэр =JASCO Жаско Hitachi++Chromaster Agilent++1100 Agilent++1200 Agilent++1220 Agilent++1260 Agilent++1290 1260++Infinity 1290++Infinity Infinity++II Bio-inert++LC Agilent++6100 Agilent++6120 Agilent++6130 Agilent++6150 Agilent++6200 Agilent++6230 Agilent++6410 Agilent++6420 Agilent++6430 Agilent++6460 Agilent++6470 Agilent++6490 Agilent++6495 Agilent++6530 Agilent++6540 Agilent++6545 Agilent++6550 Agilent++6560 =Ultivo Shimadzu++LC-20 Shimadzu++LC-30 Shimadzu++LC-40 LC-2030 LC-2040 LC-2050 LC-2060 Nexera Nexera++X2 Nexera++X3 Nexera++XR Nexera++UC Prominence i-Series++LC LCMS-2020 LCMS-8030 LCMS-8040 LCMS-8045 LCMS-8050 LCMS-8060 LCMS-8060NX LCMS-9030 LCMS-9050 ACQUITY++UPLC ACQUITY++H-Class ACQUITY++I-Class ACQUITY++Premier UPLC++H-Class UPLC++I-Class UPLC++Premier Alliance++HPLC Alliance++e2695 e2695 Arc++HPLC Arc++Premier Breeze 2998++PDA 2489++UV QDa Xevo++TQD Xevo++TQ-S Xevo++TQS Xevo++TQ-XS Xevo++TQ++Absolute Xevo++TQ-D Xevo++G2 Xevo++G2-XS Xevo++G3 SYNAPT SYNAPT++G2 SYNAPT++XS BioAccord SELECT++SERIES Vanquish++Core Vanquish++Flex Vanquish++Horizon Vanquish++Duo UltiMate++3000 Surveyor++Plus Accela TSQ++Altis TSQ++Quantis TSQ++Fortis TSQ++Endura TSQ++Quantiva TSQ++Quantum Orbitrap++Exploris Orbitrap++Ascend Orbitrap++Astral Orbitrap++Eclipse Orbitrap++Fusion Orbitrap++Lumos Orbitrap++IQ-X Q++Exactive Q-Exactive QExactive LTQ++Orbitrap Velos++Orbitrap Elite++Orbitrap Flexar++LC Series++200++LC LC++300 QSight AxION SCIEX++3200 SCIEX++3500 SCIEX++4000 SCIEX++4500 SCIEX++5500 SCIEX++6500 SCIEX++7500 Triple++Quad++3200 Triple++Quad++3500 Triple++Quad++4500 Triple++Quad++5500 Triple++Quad++6500 Triple++Quad++7500 QTRAP++3200 QTRAP++4000 QTRAP++4500 QTRAP++5500 QTRAP++6500 QTRAP++7500 ZenoTOF++7600 X500R X500B X500++QTOF TripleTOF++5600 TripleTOF++6600 API++4000 API++5000 API++5500 ExionLC++AD ExionLC++AE</t>
        </is>
      </c>
      <c r="E4" s="4" t="inlineStr">
        <is>
          <t>Общий EXCLUDE (раздел 6)</t>
        </is>
      </c>
      <c r="F4" s="15"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5" ht="150" customHeight="1">
      <c r="A5" s="14" t="n">
        <v>2</v>
      </c>
      <c r="B5" s="4" t="inlineStr">
        <is>
          <t>02_GC_GCMS</t>
        </is>
      </c>
      <c r="C5" s="4" t="inlineStr">
        <is>
          <t>ГХ, ГХ-МС/МС, детекторы FID/ECD/NPD/TCD, пиролизеры, парофаза/SPME
Бренды: Agilent 7890/8890/8860, Shimadzu GC-2030/Nexis, Thermo TRACE/ISQ/TSQ, PerkinElmer Clarus, Bruker SCION, Хроматэк-Кристалл, Хромос, Цвет</t>
        </is>
      </c>
      <c r="D5" s="15" t="inlineStr">
        <is>
          <t>газов++хроматограф газовой++хроматограф газовый++хроматограф газовая++хроматографическ хроматограф++газов газо-жидкостн++хроматограф газожидкостн++хроматограф ГЖХ ГХ Gas++Chromatograph GC++system газохроматограф капиллярн++газов++хроматограф пиролизер пиролитическ++хроматограф пламенно-ионизационн++детектор =ПИД-детектор =ПИД =FID =ECD электронозахватн++детектор =NPD азотно-фосфорн++детектор =TCD катарометр парофазн++пробоотборник =headspace твердофазн++микроэкстракц =SPME термодесорбер газов++хромато-масс газов++хроматомасс газовый++хромато-масс газовый++хроматомасс газовый++хроматограф++масс хромато-масс-спектрометр++газов хроматомасс-спектрометр++газов газохромато-масс-спектрометр газохроматомасс-спектрометр ГХ-МС ГХМС ГХ++МС ГХ-МС/МС ГХМСМС =GC-MS =GC/MS =GCMS =GC-MS/MS =GCMSMS =GC/MS/MS Agilent++7890 Agilent++8890 Agilent++8860 Agilent++7820 Agilent++6890 Agilent++6850 Intuvo++9000 7890A 7890B 8890++GC 8860++GC 7820A Shimadzu++GC-2010 Shimadzu++GC-2014 Shimadzu++GC-2025 Shimadzu++GC-2030 Shimadzu++GC-2050 GC-2010 GC-2014 GC-2025 Nexis++GC-2030 =Nexis Brevis++GC-2050 Tracera++GC GC-BID Agilent++5973 Agilent++5975 Agilent++5977 5977B 5977C Agilent++7000 Agilent++7010 Agilent++7200 Agilent++7250 7000D 7000E 7010B 7010C 7010D GC++QTOF GC/Q-TOF GC++TQ GC/TQ GCMS-QP2010 GCMS-QP2020 GCMS-QP2020++NX GCMS-TQ8030 GCMS-TQ8040 GCMS-TQ8040++NX GCMS-TQ8050 GCMS-TQ8050++NX =TQ8050 TRACE++1300 TRACE++1310 TRACE++1600 Trace++GC TRACE++GC Ultra++GC TriPlus++RSH Thermo++ISQ ISQ++7000 ISQ++7610 DSQ++II TSQ++8000 TSQ++9000 TSQ++9610 Orbitrap++GC Orbitrap++Exploris++GC GC++Orbitrap PerkinElmer++Clarus Clarus++480 Clarus++500 Clarus++580 Clarus++590 Clarus++600 Clarus++680 Clarus++690 AutoSystem++GC TurboMass Clarus++SQ8 Clarus++600T Bruker++Scion =SCION Хромос++ГХ Хромос =Кристалл Хроматэк-Кристалл =Хроматэк =Цвет Цвет++800 =Маэстро</t>
        </is>
      </c>
      <c r="E5" s="4" t="inlineStr">
        <is>
          <t>Общий EXCLUDE (раздел 6)</t>
        </is>
      </c>
      <c r="F5" s="15"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6" ht="150" customHeight="1">
      <c r="A6" s="14" t="n">
        <v>3</v>
      </c>
      <c r="B6" s="4" t="inlineStr">
        <is>
          <t>03_ICP_OES</t>
        </is>
      </c>
      <c r="C6" s="4" t="inlineStr">
        <is>
          <t>ИСП-ОЭС / ИСП-АЭС (оптико-эмиссионная с плазмой)
Бренды: Agilent 5800/5900/5100/5110, PerkinElmer Avio/Optima, Thermo iCAP, Spectro Arcos/Genesis, Shimadzu ICPE-9800, Analytik Jena PlasmaQuant</t>
        </is>
      </c>
      <c r="D6" s="15" t="inlineStr">
        <is>
          <t>ИСП-АЭС ИСП++АЭС АЭС-ИСП ИСП-ОЭС ИСП++ОЭС атомно-эмиссионн++спектрометр оптико-эмиссионн++спектрометр оптическ++эмиссионн++спектрометр эмиссионн++спектрометр++плазм эмиссионн++спектрометр++индуктивно индуктивно-связанн++плазм индуктивно++связанн++плазм спектрометр++индуктивно++связанн++плазм спектрометр++ИСП плазменн++спектрометр =ICP-OES =ICP-AES =ICPOES =ICPAES ICP++OES ICP++AES плазменн++горелк небулайзер распылител++ИСП распылительная++камера перистальтическ++насос автосамплер++ИСП генератор++плазм радиочастотн++генератор эшелле++спектрометр аксиальн++обзор радиальн++обзор двойной++обзор Agilent Аджилент Agilent++5100 Agilent++5110 Agilent++5800 Agilent++5900 Agilent++720 Agilent++725 5100++ICP 5110++ICP 5800++ICP 5900++ICP Agilent++ICP-OES PerkinElmer Перкин++Элмер ПеркинЭлмер PerkinElmer++Optima PerkinElmer++Avio Optima++4300 Optima++5300 Optima++7000 Optima++8000 Optima++8300 Avio++200 Avio++220 Avio++500 Avio++550 Avio++560 Avio++580 Thermo Термо Термо++Фишер Thermo++Scientific Thermo++iCAP =iCAP iCAP++6000 iCAP++7000 iCAP++PRO iCAP++Pro++XP Spectro++Arcos Spectro++Genesis Spectro++Blue =Спектро Horiba++Ultima Хориба Shimadzu Шимадзу Shimadzu++ICPE =ICPE-9000 =ICPE-9800 =ICPE-9820 Analytik++Jena++PlasmaQuant Аналитик++Йена</t>
        </is>
      </c>
      <c r="E6" s="4" t="inlineStr">
        <is>
          <t>Общий EXCLUDE (раздел 6)</t>
        </is>
      </c>
      <c r="F6" s="15"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7" ht="150" customHeight="1">
      <c r="A7" s="14" t="n">
        <v>4</v>
      </c>
      <c r="B7" s="4" t="inlineStr">
        <is>
          <t>04_AAS</t>
        </is>
      </c>
      <c r="C7" s="4" t="inlineStr">
        <is>
          <t>Атомно-абсорбционная спектрометрия (пламя + ЭТА/графит)
Бренды: Agilent 240/280/AA240Z, PerkinElmer PinAAcle/AAnalyst, Shimadzu AA-7000/7800, Thermo iCE 3000, Analytik Jena contrAA/ZEEnit/novAA, МГА-915/1000, КВАНТ</t>
        </is>
      </c>
      <c r="D7" s="15" t="inlineStr">
        <is>
          <t>атомно-абсорбционн++спектрометр атомно++абсорбционн++спектрометр атомно-абсорбционн++спектрофотометр атомно++абсорбционн++спектрофотометр атомная++абсорбция атомно++абсорбционн ААС =AAS AA++spectrometer Atomic++Absorption атомно-абсорбционн++спектрометри электротермическ++атомизаци пламенн++атомизаци пламенн++атомно-абсорбционн графитов++печь графитов++печ атомизатор++графитов атомизатор++пламен атомизатор++электротермическ генератор++гидрид гидридн++приставк ртутно-гидридн++приставк ртутн++анализатор++атомно-абсорбц полая++катодн++ламп лампа++полого++катод дейтериев++корректор корректор++фона Зееман =Zeeman Agilent Аджилент Agilent++55B Agilent++200 Agilent++240 Agilent++240FS Agilent++280 Agilent++280FS Agilent++AA240Z =AA240Z =FS240 =240FS =280FS GTA++120 PerkinElmer Перкин++Элмер ПеркинЭлмер PerkinElmer++AAnalyst PerkinElmer++PinAAcle =PinAAcle PinAAcle++500 PinAAcle++900 AAnalyst++200 AAnalyst++400 AAnalyst++600 AAnalyst++700 AAnalyst++800 Shimadzu Шимадзу Shimadzu++AA AA-6200 AA-6300 AA-6800 AA-7000 AA-7800 Thermo Термо Thermo++iCE =iCE =SOLAAR iCE++3000 iCE++3300 iCE++3400 iCE++3500 Analytik++Jena Аналитик++Йена Analytik++Jena++contrAA Analytik++Jena++ZEEnit Analytik++Jena++novAA =novAA =contrAA =ZEEnit МГА-915 МГА-1000 КВАНТ-Z КВАНТ-2А Спектр-5</t>
        </is>
      </c>
      <c r="E7" s="4" t="inlineStr">
        <is>
          <t>Общий EXCLUDE (раздел 6)</t>
        </is>
      </c>
      <c r="F7" s="15"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8" ht="150" customHeight="1">
      <c r="A8" s="14" t="n">
        <v>5</v>
      </c>
      <c r="B8" s="4" t="inlineStr">
        <is>
          <t>05_ICP_MS</t>
        </is>
      </c>
      <c r="C8" s="4" t="inlineStr">
        <is>
          <t>ИСП-МС, тандем QQQ, секторные HR-ICP-MS
Бренды: Agilent 7700–8900, PerkinElmer NexION, Thermo iCAP Q/RQ/TQ, Element 2/XR, Neptune Plus, Shimadzu ICPMS-2030</t>
        </is>
      </c>
      <c r="D8" s="15" t="inlineStr">
        <is>
          <t>ИСП-МС ИСП++МС ИСП_МС масс-спектрометр++индуктивно масс-спектрометр++индуктивно++связанн масс-спектрометр++ИСП масс-спектрометр++плазм плазменн++масс-спектрометр =ICP-MS =ICP/MS =ICPMS ICP++MS ИСП-МС/МС =ICP-MS/MS тандемн++ИСП-МС квадрупольн++ИСП-МС тройной++квадруполь++ИСП-МС Triple++Quadrupole++ICP =ICP-QQQ ICP++QQQ ICPMS++QQQ секторн++масс-спектрометр магнитно-секторн =HR-ICP-MS высокоразрешающ++ИСП-МС collision++reaction++cell ячейк++соударен октопольн++реакционн++система гелиев++режим водородн++режим Agilent Аджилент Agilent++7700 Agilent++7800 Agilent++7850 Agilent++7900 Agilent++8800 Agilent++8900 7700++ICP-MS 7800++ICP-MS 7850++ICP-MS 7900++ICP-MS 8800++ICP-MS 8900++ICP-MS PerkinElmer ПеркинЭлмер PerkinElmer++NexION =NexION NexION++300 NexION++350 NexION++1000 NexION++2000 NexION++2200 NexION++5000 Thermo Термо Термо++Фишер Thermo++iCAP =iCAP iCAP++Q iCAP++RQ iCAP++TQ Thermo++Element =Element++2 =Element++XR Element++2 Element++XR Neptune++Plus Bruker++aurora =aurora Analytik++Jena++PlasmaQuant Analytik++Jena++PlasmaQuant++MS Shimadzu Шимадзу =ICPMS-2030 =ICPMS-2040 =ICPMS-2050 ICPMS-2030 ICPMS-2040 ICPMS-2050</t>
        </is>
      </c>
      <c r="E8" s="4" t="inlineStr">
        <is>
          <t>Общий EXCLUDE (раздел 6)</t>
        </is>
      </c>
      <c r="F8" s="15"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9" ht="150" customHeight="1">
      <c r="A9" s="14" t="n">
        <v>6</v>
      </c>
      <c r="B9" s="4" t="inlineStr">
        <is>
          <t>06_IC</t>
        </is>
      </c>
      <c r="C9" s="4" t="inlineStr">
        <is>
          <t>Ионная хроматография (анионная/катионная, кондуктометрия, супрессор)
Бренды: Thermo Dionex ICS-1100..6000, Metrohm 882/930/940</t>
        </is>
      </c>
      <c r="D9" s="15" t="inlineStr">
        <is>
          <t>ионн++хроматограф ионн++хроматографи ион-хроматограф ИХ кондуктометрическ++детектор анионн++хроматограф катионн++хроматограф =IC ion++chromatography систем++ионн++хроматограф комплекс++ионн++хроматограф супрессор суппрессор подавительн++колонк Dionex Дайонекс =Dionex =ICS-1100 =ICS-2100 =ICS-5000 =ICS-6000 =Aquion =Integrion Thermo++Dionex Metrohm Метром Метрохм =Metrohm =881++Compact =882++Compact =930++Compact =940++Professional Shimadzu++HIC Shimadzu++IC Lab++Alliance</t>
        </is>
      </c>
      <c r="E9" s="4" t="inlineStr">
        <is>
          <t>Общий EXCLUDE (раздел 6)</t>
        </is>
      </c>
      <c r="F9" s="15"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10" ht="150" customHeight="1">
      <c r="A10" s="14" t="n">
        <v>7</v>
      </c>
      <c r="B10" s="4" t="inlineStr">
        <is>
          <t>07_UV_Vis</t>
        </is>
      </c>
      <c r="C10" s="4" t="inlineStr">
        <is>
          <t>УФ-видимая спектрофотометрия (двухлучевые, диод-матрица, NIR)
Бренды: Agilent Cary 60–7000, Shimadzu UV-1900/2700/3600, Thermo Evolution/NanoDrop, PerkinElmer Lambda</t>
        </is>
      </c>
      <c r="D10" s="15" t="inlineStr">
        <is>
          <t>УФ-видим УФ++видим УФ-Вид УФ++Вид УФ-Vis =UV-Vis UV++Vis =UV/VIS =UV-VIS-NIR UV++VIS++NIR УФ-видимая++спектрофотометр УФ++видимая++спектрофотометр УФ++спектрофотометр спектрофотометр++УФ спектрофотометр++ультрафиолет спектрофотометр++видим УФ++спектроскоп спектрофотометр++двухлучев двухлучев++спектрофотометр кюветн++отделен интегрирующ++сфер спектральн++диапазон монохроматор двойной++монохроматор дифракционн++решетк детектор++InGaAs детектор++PbS детектор++PMT приставк++диффузн++отражен приставк++зеркальн++отражен Agilent Аджилент Cary++60 Cary++100 Cary++300 Cary++3500 Cary++4000 Cary++5000 Cary++6000 Cary++7000 =Cary Shimadzu Шимадзу UV-1280 UV-1800 UV-1900 UV-2600 UV-2700 UV-3600 Thermo Термо Evolution++201 Evolution++220 Evolution++260 Evolution++300 Evolution++350 Evolution++One Evolution++One++Plus =Evolution NanoDrop++One =NanoDrop PerkinElmer ПеркинЭлмер Lambda++25 Lambda++35 Lambda++365 Lambda++465 Lambda++650 Lambda++750 Lambda++850 Lambda++950 Lambda++1050 =Lambda</t>
        </is>
      </c>
      <c r="E10" s="4" t="inlineStr">
        <is>
          <t>Общий EXCLUDE (раздел 6)</t>
        </is>
      </c>
      <c r="F10" s="15"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11" ht="150" customHeight="1">
      <c r="A11" s="14" t="n">
        <v>8</v>
      </c>
      <c r="B11" s="4" t="inlineStr">
        <is>
          <t>08_FTIR</t>
        </is>
      </c>
      <c r="C11" s="4" t="inlineStr">
        <is>
          <t>ФТИР / ИК-Фурье, ИК-микроскопия, НПВО/ATR
Бренды: Agilent Cary 630–680, Shimadzu IRTracer/IRAffinity, Thermo Nicolet, PerkinElmer Spectrum/Frontier</t>
        </is>
      </c>
      <c r="D11" s="15" t="inlineStr">
        <is>
          <t>ФТИР =FTIR =FT-IR Фурье++ИК Фурье++инфракрасн ИК-Фурье ИК++Фурье инфракрасн++Фурье инфракрасн++спектрометр инфракрасн++спектрофотометр ИК++спектрометр ИК++спектрофотометр FTIR++spectrometer FT-IR++spectrometer Fourier++transform++infrared ИК++микроскоп FTIR++microscope =ATR =НПВО нарушенн++полн++внутрен отражен приставка++НПВО алмазн++кристалл германиев++кристалл спектральн++библиотек ИК++библиотек Raman++FTIR Agilent Аджилент Cary++630 Cary++660 Cary++670 Cary++680 Shimadzu Шимадзу =IRSpirit =IRAffinity =IRAffinity-1S =IRTracer =IRTracer-100 =AIM-9000 IRSpirit IRAffinity IRAffinity-1S IRTracer IRTracer-100 AIM-9000 Thermo Термо Nicolet++iS5 Nicolet++iS10 Nicolet++iS20 Nicolet++iS50 Nicolet++Summit Nicolet++Avatar Antaris++FTIR =OMNIC =Nicolet PerkinElmer ПеркинЭлмер Spectrum++One Spectrum++100 Spectrum++400 Spectrum++Two Spectrum++3 Frontier++FTIR Spotlight++FTIR</t>
        </is>
      </c>
      <c r="E11" s="4" t="inlineStr">
        <is>
          <t>Общий EXCLUDE (раздел 6)</t>
        </is>
      </c>
      <c r="F11" s="15"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12" ht="150" customHeight="1">
      <c r="A12" s="11" t="n">
        <v>9</v>
      </c>
      <c r="B12" s="12" t="inlineStr">
        <is>
          <t>09_Service  (опц.)</t>
        </is>
      </c>
      <c r="C12" s="12" t="inlineStr">
        <is>
          <t>Сервис / поверка / IQ-OQ-PQ на приборы 01–08
Бренды: Любые из 01–08</t>
        </is>
      </c>
      <c r="D12" s="16" t="inlineStr">
        <is>
          <t>техническ++обслуживан сервисн++обслуживан техобслуживан ремонт++хроматограф ремонт++спектрометр ремонт++масс-спектрометр поверка++хроматограф поверка++спектрометр калибровка++хроматограф калибровка++спектрометр аттестация++хроматограф валидация++метрологическ квалификация =IQ =OQ =PQ метрологическ++обслуживан диагностика++оборудован хроматограф масс-спектрометр спектрофотометр ИСП-МС ИСП-ОЭС ААС ФТИР FTIR UV-Vis Agilent Shimadzu Waters Thermo PerkinElmer SCIEX</t>
        </is>
      </c>
      <c r="E12" s="12" t="inlineStr">
        <is>
          <t>СМЯГЧЁННЫЙ EXCLUDE: из общего убрать «реактив», «реагент», «гель» (в сервисе часто всплывают)</t>
        </is>
      </c>
      <c r="F12" s="16"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13" ht="150" customHeight="1">
      <c r="A13" s="11" t="n">
        <v>10</v>
      </c>
      <c r="B13" s="12" t="inlineStr">
        <is>
          <t>10_Consumables  (опц.)</t>
        </is>
      </c>
      <c r="C13" s="12" t="inlineStr">
        <is>
          <t>Расходники: колонки, картриджи, лампы, кюветы, ГСО
Бренды: Любые из 01–08 + Dionex, Metrohm, Knauer, JASCO</t>
        </is>
      </c>
      <c r="D13" s="16" t="inlineStr">
        <is>
          <t>хроматографическ++колонк колонк++хроматографическ предколонк guard++column картридж++SPE твердофазн++картридж сорбент виал =vial септ феррул фитинг капилляр лайнер уплотнен прокладк игла++автосамплер шприц++автосамплер лампа++дейтериев дейтериев++ламп лампа++полого++катод кювет кювета стандартн++образец калибровочн++раствор референс++стандарт ГСО СОП библиотек++спектр NIST++library Agilent Shimadzu Waters Thermo PerkinElmer SCIEX Dionex Metrohm Knauer JASCO ВЭЖХ HPLC ГХ GC-MS ИСП-МС ИСП-ОЭС ААС ФТИР FTIR</t>
        </is>
      </c>
      <c r="E13" s="12" t="inlineStr">
        <is>
          <t>СМЯГЧЁННЫЙ EXCLUDE: снять «реактив», «реагент», «гель» (расходники часто их содержат)</t>
        </is>
      </c>
      <c r="F13" s="16"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14">
      <c r="A14" s="13" t="inlineStr">
        <is>
          <t>▎ Молекулярная диагностика</t>
        </is>
      </c>
    </row>
    <row r="15" ht="150" customHeight="1">
      <c r="A15" s="14" t="n">
        <v>11</v>
      </c>
      <c r="B15" s="4" t="inlineStr">
        <is>
          <t>MDX_01_Sequencers</t>
        </is>
      </c>
      <c r="C15" s="4" t="inlineStr">
        <is>
          <t>NGS-секвенаторы + Sanger CE / капиллярные генетические анализаторы (только ПРИБОРЫ)
Бренды: Illumina (iSeq..NovaSeq X+), MGI DNBSEQ (G50..T20), GeneMind, Salus, Хеликон, Р-Ген, ONT (MinION/PromethION), PacBio (Revio), Element AVITI, ABI 3500/3500xL/3130/3730, SeqStudio</t>
        </is>
      </c>
      <c r="D15" s="15" t="inlineStr">
        <is>
          <t>секвенатор секвенатор++ДНК секвенатор++РНК секвенатор++нуклеинов секвенатор++генетическ генетическ++секвенатор генетическ++анализатор анализатор++генетическ молекулярно-генетическ++анализатор прибор++секвенирован аппарат++секвенирован система++секвенирован платформа++секвенирован система++генетическ++анализ высокопроизводительн++секвенирован массов++параллельн++секвенирован параллельн++секвенирован =NGS =MPS секвенирован++нового++поколен следующ++поколен++секвенир Next++Generation++Sequencing Next-Generation++Sequencing секвенирован++ДНК секвенирован++РНК =DNA-Seq =RNA-Seq =WGS =WES полногеномн++секвенир полноэкзомн++секвенир капиллярн++секвенатор капиллярн++генетическ++анализатор капиллярн++электрофорез секвенирован++Сенгер секвенирован++Сэнгер сэнгеровск++секвенирован =Sanger Sanger++sequencing Sanger++sequencer фрагментн++анализ fragment++analysis STR++анализ MLPA++фрагмент микросателлитн++анализ нанопоров++секвенатор нанопоров++секвенирован nanopore++sequencing nanopore++sequencer нанопорн++секвенирован одномолекулярн++секвенир =SMRT =DNB-секвенир длинн++прочтен =long-read long-read++sequencing сверхдлинн++прочтен real-time++sequencing =Iso-Seq Illumina Иллюмина Илюмина Альбиоген Albiogen MiSeq MiSeqDx MiSeq++Dx MiSeq++i100 MiniSeq iSeq iSeq++100 NextSeq NextSeq++500 NextSeq++550 NextSeq++550Dx NextSeq++1000 NextSeq++2000 NovaSeq NovaSeq++5000 NovaSeq++6000 NovaSeq++6000Dx NovaSeq++X NovaSeq++X++Plus HiSeq HiSeq++1500 HiSeq++2000 HiSeq++2500 HiSeq++3000 HiSeq++4000 Genome++Analyzer GAIIx iScan iScanDx Infinium BeadChip MGI MGI++Tech ЭмДжиАй МГИ BGI БГИ Beijing++Genomics++Institute Complete++Genomics DNBSEQ DNBSEQ-G50 DNBSEQ-G99 DNBSEQ-G400 DNBSEQ-G800 DNBSEQ-T1 DNBSEQ-T7 DNBSEQ-T10 DNBSEQ-T20 DNBSEQ-E25 MGISEQ MGISEQ-200 MGISEQ-2000 MGISEQ-T7 MGISEQ-G400RS BGISEQ HELICON Хеликон Helicon HELICON++G50 HELICON++G400 Хеликон++G50 Хеликон++G400 Геноскан Genoscan Genoskan Биофьюжн Biofusion BioFusion Salus Salus++Bio Salus++BioMed Salus++Pro Salus++Pro++RS Salus++Evo Р-Ген Р-Ген++2000 РГен++2000 P-Gen++2000 GeneMind Genemind ДжинМайнд Джинмайнд GenoLab GenoLab++M FASTASeq FASTASeq++300 FASTASeq++500 FASTASeq++S SURFSeq SURFSeq++5000 SURFSeq++Q GenoCare MrLH-96 Oxford++Nanopore Oxford++Nanopore++Technologies Оксфорд++Нанопор =ONT MinION MinION++Mk1B MinION++Mk1C GridION PromethION PromethION++2 PromethION++P2 PromethION++P24 PromethION++P48 Flongle VolTRAX PacBio Pacific++Biosciences Sequel Sequel++II Sequel++IIe Revio Vega SMRT++Cell Thermo++Fisher ThermoFisher Термо++Фишер Applied++Biosystems =ABI Эплайд++Биосистемс Life++Technologies Ion++Torrent IonTorrent Ion++PGM Ion++Proton Ion++S5 Ion++GeneStudio Ion++GeneStudio++S5 Ion++Chef Ion++OneTouch Ion++Genexus Genexus SeqStudio SeqStudio++Flex SeqStudio++Genetic++Analyzer SeqStudio++Plus +SeqStudio+8 +SeqStudio+24 ABI++3500 ABI++3500xL =3500xl =3500XL 3500++Genetic++Analyzer 3500xL++Genetic++Analyzer 3500++8-capillary 3500xL++24-capillary 3130 3130xl 3130++Genetic++Analyzer 3730 3730xl 3730++Genetic++Analyzer 3730xL++Genetic++Analyzer +ABI+3130 +ABI+3130xl +ABI+3730 +ABI+3730xl 310++Genetic++Analyzer ABI++310 Applied++Biosystems++3500 Applied++Biosystems++3500xL Applied++Biosystems++SeqStudio +Genetic+analyzer+24-capillary +Genetic+analyzer+8-capillary +Genetic+analyzer+5-dye +Genetic+analyzer+6-dye фрагментн++анализатор STR-анализатор STR-анализ STR++профилирован микросателлитн++генотипирован +Identifiler +PowerPlex +GlobalFiler +Yfiler =GeneMapper GeneMapper++ID GeneMapper++ID-X +GeneMapper+IDX +Geneoscan +GeneScan =Mixture+Analysis +Identifiler+Plus +Identifiler+Direct +VeriFiler судебно-медицинск++ДНК-идентификац ДНК-идентификац ДНК++профил++криминал генотипирован++для++криминалистическ криминалистическ++ДНК-анализ Element++Biosciences AVITI AVITI24 Singular++Genomics G4++Sequencing Ultima++Genomics UG-100 =UG100 Roche++454 GS++Junior GS++FLX PyroMark Verogen MiSeq++FGx ForenSeq Beckman++Coulter GenomeLab GeXP</t>
        </is>
      </c>
      <c r="E15" s="4" t="inlineStr">
        <is>
          <t>Базовый (7.1) + ПЦР/ИФА/single-cell (7.2)</t>
        </is>
      </c>
      <c r="F15" s="15" t="inlineStr">
        <is>
          <t>ноутбук фоторадар транспорт транспорт+средств автомобил автомобиль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ноутбук компьютер сервер принтер картридж++принтер бумага мебель халат маск респиратор дезинфицир моющ++средств клининг  ПЦР ПЦР-РВ ПЦР++РВ РТ-ПЦР ОТ-ПЦР =rt-PCR =RT-PCR =qPCR real-time++PCR real++time++PCR ПЦР++реальном++времени полимеразн++цепн++реакц амплификатор термоциклер Rotor-Gene RotorGene CFX96 QuantStudio LightCycler ДТпрайм Дтпрайм Cobas++4800 cobas++z480 PCR++panel PCR++kit ИФА =ELISA иммуноферментн экспресс-тест тест-полос микробиологическ++посев питательн++среда бактериологическ++посев COVID SARS-CoV-2 коронавирус грипп ОРВИ ВИЧ сифилис гепатит туберкулез++ПЦР single-cell single++cell singlecell одноклеточн 10x++Genomics Chromium++Controller Chromium++Next++GEM spatial++transcriptomics пространственн++транскриптом Visium Xenium</t>
        </is>
      </c>
    </row>
    <row r="16" ht="150" customHeight="1">
      <c r="A16" s="14" t="n">
        <v>12</v>
      </c>
      <c r="B16" s="4" t="inlineStr">
        <is>
          <t>MDX_02_Reagents_Libraries</t>
        </is>
      </c>
      <c r="C16" s="4" t="inlineStr">
        <is>
          <t>Расходники секвенирования, library prep, выделение НК, авто-станции
Бренды: Illumina TruSeq/Nextera, MGIEasy, KAPA, NEBNext, QIAseq, Twist, IDT xGen, Agilent SureSelect, KingFisher, MGISP, Vazyme, Pillar, Burning Rock, Novogene, BigDye/POP-7 (Sanger)</t>
        </is>
      </c>
      <c r="D16" s="15" t="inlineStr">
        <is>
          <t>картридж++секвенатор картридж++секвенирован картридж++NGS картридж++Illumina картридж++MGI картридж++DNBSEQ =flow+cell =flowcell flow-cell проточн++ячейк проточная++ячейка проточн++чип ячейк++секвенатор ячейк++NGS sequencing++cell секвенирующ++ячейк sequencing++cartridge reagent++cartridge реактивн++картридж картридж++реагентов промывочн++картридж wash++cartridge wash++kit промывк++проточн++ячейк расходн++материал++секвенатор расходн++материал++секвенирован реагент++секвенатор реагент++секвенирован набор++реагент++секвенир набор++реагент++NGS sequencing++reagents sequencing++kit sequencing++reagent++kit SBS++reagent++kit cluster++kit cartridge++kit flow++cell++kit библиотек++секвенирован библиотек++NGS подготовк++библиотек приготовлен++библиотек создан++библиотек подготовка++NGS++библиотек =library+prep library++preparation library++preparation++kit NGS++library++prep DNA++library++prep RNA++library++prep stranded++RNA++library WGS++library WES++library exome++library target++enrichment таргетн++обогащен обогащен++библиотек hybrid++capture гибридизационн++захват capture++panel ампликонн++библиотек adapter++ligation лигирован++адаптеров адаптер++NGS адаптер++секвенирован индексн++адаптер adapter++kit index++kit barcode++kit баркод++NGS UMI++адаптер unique++dual++index выделен++ДНК выделение++ДНК очистк++ДНК очистка++ДНК выделен++РНК выделение++РНК очистк++РНК выделен++нуклеинов++кислот выделен++нуклеинов экстракц++нуклеинов экстракц++ДНК экстракц++РНК набор++выделен++ДНК набор++выделения++ДНК набор++выделен++ДНК/РНК набор++выделен++РНК набор++выделен++нуклеинов набор++экстракц++ДНК DNA++extraction DNA++purification RNA++extraction nucleic++acid++extraction cfDNA++extraction циркулирующ++ДНК внеклеточн++ДНК cell-free++DNA =ctDNA =cfDNA FFPE++DNA FFPE++RNA формалин++фиксирован парафин++залит =FFPE автоматическ++пробоподготовк автоматическ++выделен++ДНК станция++пробоподготовк магнитн++частиц++выделен магнитн++частиц магнитн++сорбент magnetic++beads =KingFisher =MagMAX =PureLink =QIAamp =RNeasy =DNeasy =AllPrep =QIAcube =QIAsymphony =MGISP-100 =MGISP-960 =AMPure =AMPure+XP =CleanNGS CleanNGS Beckman++CleanNGS SPRIselect SPRI++select SPRI bead++cleanup очистк++библиотек контроль++библиотек нормализац++библиотек quantification++library количественн++оценк++библиотек качество++библиотек Bioanalyzer TapeStation Fragment++Analyzer Qubit Quant-iT PicoGreen dsDNA++HS++Assay KAPA++Library++Quantification Illumina++DNA++Prep =Nextera =Nextera+XT =Nextera+Flex =Nextera+DNA =TruSeq =TruSight =AmpliSeq+for+Illumina DNA++Prep++with++Enrichment MiSeq++Reagent++Kit NextSeq++Reagent++Kit NovaSeq++Reagent++Kit iSeq++Reagent++Kit =MGIEasy MGIEasy++FS MGIEasy++RNA MGIEasy++Exome MGIEasy++Universal DNBSEQ++reagent DNBSEQ++sequencing++set DNBSEQ++flow++cell DNB++making++kit DNB++load++reagent DNA++nanoball++kit circularization++kit ONT++ligation ONT++rapid ONT++barcoding ONT++flow++cell MinION++flow++cell PromethION++flow++cell Flongle++flow++cell sequencing++buffer loading++beads motor++protein nanopore++wash++kit =KAPA =KAPA+HyperPrep =KAPA+HyperPlus =Roche+KAPA =Lexogen =NEBNext New++England++Biolabs =NEB =Swift =Accel-NGS =QIAGEN Киаген =QIAseq =Twist Twist++Bioscience Twist++Comprehensive Twist++Pan-cancer Twist++Exome =IDT Integrated++DNA++Technologies =xGen IDT++xGen =SureSelect Agilent++SureSelect Agilent++SureSelect+XT Agilent++SureSelect+XT+HS Agilent++SureSelect+QXT ArcherDX Archer++DX VariantPlex FusionPlex Archer++Fusion Archer++Reveal Beckman++Coulter Amoy++Dx =AmoyDx Эймой++Дикс Pillar++Biosciences =Pillar Pillar++ONCO Pillar++ONCO/Reveal Pillar++Reveal Pillar++Reveal+Panel Pillar++Heredity Pillar++Heredity++Panel Burning++Rock =BurningRock Burning++Rock++Dx Burning++Rock++Biotech Burning++Rock++OncoScreen OncoScreen++Plus LungPlasma LungCore Burning++Rock++LungPlasma Burning++Rock++LungCore Novogene Новоген Новожен =Novogene Novogene++library Novogene++NovaPath Novogene++WES Novogene++WGS Nanodigm NanoDigm Нанодигм НаноДигм Нанодайм НаноДайм Парсек Parseq Parsec Парсек++Лаб Parseq++Lab Prep&amp;Seq Ready-U-Panel OncoScope OncoScope++NSCLC Онко++Атлас ОнкоАтлас Onco++Atlas =OncoAtlas ТестГен TestGen Тест++Ген =Testgen Personalis Personalis++ImmunoID ImmunoID Personalis++NeXT NeXT++Personal Tempus++xT Tempus++xR Tempus++Onco Caris Caris++MI Caris++MI++Profile BigDye =BigDye BigDye++Terminator BigDye++Terminator++v1.1 BigDye++Terminator++v3.1 BigDye++XTerminator BigDye++Direct +BDX64 POP-4 POP-6 POP-7 +POP4 +POP6 +POP7 POP++полимер полимер++POP-7 полимер++POP-4 полимер++POP-6 капиллярн++массив капиллярн++матриц 36++cm++array 50++cm++array 36-cm++array 50-cm++array 36++см++капиллярн 50++см++капиллярн 8-капиллярн++массив 24-капиллярн++массив capillary++array Genetic++Analyzer++capillary HiDi++Formamide HiDi-Formamide Hi-Di формамид формамид++Hi-Di GeneScan++600++LIZ GeneScan++500++LIZ GeneScan++LIZ Size++Standard внутрення++размерн++стандарт LIZ-стандарт LIZ++size++standard буферный++раствор++ABI ABI++Buffer 10X++Running++Buffer Anode++Buffer Cathode++Buffer Anode++Buffer++Container Cathode++Buffer++Container ABI++Running++Buffer Performance++Optimized++Polymer Vazyme Вазайм Вазим =Vazyme VAHTS VAHTS++Universal VAHTS++Pro VAHTS++Smart VAHTS++Stranded Hieff++NGS Hieff-NGS Hieff++FFPE Hieff++Onco Hieff++Smart MaxUp +Vazyme+VAHTS Vazyme++Smart+8 Vazyme++MaxUp Vazyme++Auto Vazyme++Hieff =FoundationOne Foundation++One Foundation++Medicine</t>
        </is>
      </c>
      <c r="E16" s="4" t="inlineStr">
        <is>
          <t>Базовый (7.1) + ПЦР/ИФА/single-cell (7.2)</t>
        </is>
      </c>
      <c r="F16" s="15" t="inlineStr">
        <is>
          <t>ноутбук фоторадар транспорт транспорт+средств автомобил автомобиль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ноутбук компьютер сервер принтер картридж++принтер бумага мебель халат маск респиратор дезинфицир моющ++средств клининг  ПЦР ПЦР-РВ ПЦР++РВ РТ-ПЦР ОТ-ПЦР =rt-PCR =RT-PCR =qPCR real-time++PCR real++time++PCR ПЦР++реальном++времени полимеразн++цепн++реакц амплификатор термоциклер Rotor-Gene RotorGene CFX96 QuantStudio LightCycler ДТпрайм Дтпрайм Cobas++4800 cobas++z480 PCR++panel PCR++kit ИФА =ELISA иммуноферментн экспресс-тест тест-полос микробиологическ++посев питательн++среда бактериологическ++посев COVID SARS-CoV-2 коронавирус грипп ОРВИ ВИЧ сифилис гепатит туберкулез++ПЦР single-cell single++cell singlecell одноклеточн 10x++Genomics Chromium++Controller Chromium++Next++GEM spatial++transcriptomics пространственн++транскриптом Visium Xenium</t>
        </is>
      </c>
    </row>
    <row r="17" ht="150" customHeight="1">
      <c r="A17" s="14" t="n">
        <v>13</v>
      </c>
      <c r="B17" s="4" t="inlineStr">
        <is>
          <t>MDX_03_Oncology_Panels</t>
        </is>
      </c>
      <c r="C17" s="4" t="inlineStr">
        <is>
          <t>Онкопанели и тесты: BRCA/EGFR/KRAS/BRAF/ALK/MSI/HRD/TMB/CGP
Бренды: AmoyDx, Pillar, Burning Rock, Novogene, Parseq, OncoAtlas, TestGen, FoundationOne, Oncomine, Archer, TSO500, Twist, Personalis, Tempus, Caris</t>
        </is>
      </c>
      <c r="D17" s="15" t="inlineStr">
        <is>
          <t>NGS++панел NGS-панел онкопанел онко++панел онкологическ++панел панел++генов панель++генов генетическ++панел молекулярн++панел молекулярно-генетическ++панел таргетн++панел таргетн++секвенирован targeted++sequencing targeted++panel cancer++panel oncology++panel solid++tumor++panel солидн++опухол опухолев++панел молекулярн++онколог комплексн++геномн++профилирован =CGP comprehensive++genomic++profiling комплексное++геномное++профилирование молекулярно-генетическ++профилирован геномн++профиль опухол профиль++мутац профилирован++опухол мутационн++профилирован генотипирован++опухол молекулярн++профилирован++опухол наследствен++онкологическ наследствен++онко hereditary++cancer tumor++profiling рак++молочн++желез молочн++желез breast++cancer РМЖ молочн++желез++онкомаркер наследственн++рак++молочн наследственн++рак++яичник ovarian++cancer рак++яичник BRCA-тест =BRCA =BRCA1 =BRCA2 =PALB2 =CHEK2 =ATM =TP53 =PTEN =AKT =AKT1 =AKT2 =AKT3 =PIK3CA =ESR1 =ERBB2 =HER2 =CDK12 HRD homologous++recombination++deficiency гомологичн++рекомбинац колоректальн++ра колоректальн++рак colorectal++cancer =CRC рак++толст++кишк рак++ободочн++кишк рак++прям++кишк =KRAS =NRAS =BRAF BRAF++V600E =V600E =MSI =MSS =MMR =MLH1 =MSH2 =MSH6 =PMS2 =EPCAM =POLE =POLD1 =APC =CTNNB1 рак++лёгк рак++легк лёгочн++ра легочн++ра рак++легк++немелкоклеточн немелкоклеточн++рак++легк =НМРЛ =NSCLC lung++cancer =EGFR =ALK =ROS1 KRAS++G12C =G12C =MET =METex14 MET++exon++14 =RET =NTRK =NTRK1 =NTRK2 =NTRK3 =STK11 =KEAP1 =DDR2 =FGFR1 =FGFR2 =FGFR3 рак++предстательн++желез рак++яичник меланом =TMB =LOH =CNV =CNA =SNV =InDel =indel =fusion =fusions gene++fusion слияни++генов транслокац copy++number++variation copy++number++alteration мутац++ген мутационный++статус генетическ++вариант соматическ++мутац герминальн++мутац germline somatic liquid++biopsy жидкостн++биопс AmoyDx Amoy++Dx Amoy++Diagnostics Амой АмойДх AmoyDx++Essential AmoyDx++Comprehensive AmoyDx++Master AmoyDx++HANDLE HANDLE++Classic HANDLE++OncoPro HANDLE++HRR HRD++Focus HRD++Complete BRCA++Pro =ANDAS =ARAS Pillar++Biosciences =Pillar Pillar++ONCO Pillar++ONCO/Reveal Pillar++Reveal Pillar++Reveal+Panel Pillar++Heredity Pillar++Heredity++Panel Pillar++Lung Pillar++Pan-Cancer Pillar++oncoReveal Pillar++stemSCREEN Burning++Rock =BurningRock Burning++Rock++Dx Burning++Rock++Biotech Burning++Rock++OncoScreen OncoScreen++Plus OncoScreen++Comprehensive LungPlasma LungCore Burning++Rock++LungPlasma Burning++Rock++LungCore Burning++Rock++OncoCommons Burning++Rock++OncoMix Burning++Rock++HRR Novogene Новоген Новожен =Novogene Novogene++NovaPath Novogene++WES Novogene++WGS Novogene++NGS++panel Novogene++clinical Parseq Парсек Parseq++Lab Prep&amp;Seq Prep++Seq Ready-U-Panel OncoScope OncoScope++NSCLC OncoAtlas Онко++Атлас ОнкоАтлас Onco++Atlas TestGen ТестГен Тест++Ген Nanodigm NanoDigm Нанодигм НаноДигм =FoundationOne Foundation++One Foundation++Medicine =FoundationOne+CDx FoundationOne+Liquid FoundationOne+Liquid+CDx FoundationOne+CDx+xT FoundationOne+Heme =MSK-IMPACT MSK++IMPACT =Oncomine =OncoMine Oncomine++Comprehensive Oncomine++Focus Oncomine++Solid Oncomine++Pan-Cancer Oncomine++Precision =QIAseq QIAGEN++QIAseq QIAseq++TMB QIAseq++HRD QIAseq++FX =ArcherDx Archer++DX Archer Archer++VariantPlex Archer++FusionPlex Archer++Reveal Archer++Reveal+Lung Archer++Reveal+ALK Archer++LiquidPlex =xGen IDT++xGen IDT++xGen+Lung+v2 IDT++xGen+Pan-Cancer =SureSelect Agilent++SureSelect Agilent++SureSelect+XT Agilent++SureSelect+XT+HS Agilent++SureSelect+QXT Agilent++SureSelect+Cancer Twist++Bioscience Twist++Comprehensive Twist++Pan-cancer Twist++Exome Twist++Custom Twist++CarrierScreen NEBNext NEBNext++Direct KAPA++HyperPlus KAPA++HyperCap =TruSight+Oncology =TruSight+Oncology+500 TSO500 =TruSight+Tumor TruSight+Tumor+170 =TruSight+Hereditary +TruSight+Cardio TruSight+RNA Personalis Personalis++ImmunoID ImmunoID NeXT++Personal Tempus++xT Tempus++xR Tempus++Onco Caris++MI Caris++MI++Profile MI++Tumor++Seek MGIEasy++Onco MGI++Exome Salus++NGS+Onco</t>
        </is>
      </c>
      <c r="E17" s="4" t="inlineStr">
        <is>
          <t>Базовый (7.1) + ПЦР/ИФА/single-cell (7.2)</t>
        </is>
      </c>
      <c r="F17" s="15" t="inlineStr">
        <is>
          <t>ноутбук фоторадар транспорт транспорт+средств автомобил автомобиль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ноутбук компьютер сервер принтер картридж++принтер бумага мебель халат маск респиратор дезинфицир моющ++средств клининг  ПЦР ПЦР-РВ ПЦР++РВ РТ-ПЦР ОТ-ПЦР =rt-PCR =RT-PCR =qPCR real-time++PCR real++time++PCR ПЦР++реальном++времени полимеразн++цепн++реакц амплификатор термоциклер Rotor-Gene RotorGene CFX96 QuantStudio LightCycler ДТпрайм Дтпрайм Cobas++4800 cobas++z480 PCR++panel PCR++kit ИФА =ELISA иммуноферментн экспресс-тест тест-полос микробиологическ++посев питательн++среда бактериологическ++посев COVID SARS-CoV-2 коронавирус грипп ОРВИ ВИЧ сифилис гепатит туберкулез++ПЦР single-cell single++cell singlecell одноклеточн 10x++Genomics Chromium++Controller Chromium++Next++GEM spatial++transcriptomics пространственн++транскриптом Visium Xenium</t>
        </is>
      </c>
    </row>
    <row r="18" ht="150" customHeight="1">
      <c r="A18" s="14" t="n">
        <v>14</v>
      </c>
      <c r="B18" s="4" t="inlineStr">
        <is>
          <t>MDX_04_NIPT_PGT_HLA</t>
        </is>
      </c>
      <c r="C18" s="4" t="inlineStr">
        <is>
          <t>НИПТ, ПГТ-А/М, HLA-типирование, биочипы
Бренды: Illumina VeriSeq, Vanadis, BambniTest, LinkSeq/AllType/Olerup (HLA), Affymetrix CytoScan, Infinium BeadChip</t>
        </is>
      </c>
      <c r="D18" s="15">
        <f>НИПТ =NIPT неинвазивн++пренатальн неинвазивн++пренатальн++тест неинвазивн++пренатальн++скрининг пренатальн++секвенирован prenatal++screening prenatal++test cfDNA++prenatal внеклеточн++ДНК++плод =cffDNA fetal++fraction фетальн++фракц анеуплоид анеуплоидии трисом трисомия++21 трисомия++18 трисомия++13 =Veriseq =VeriSeq =Harmony =Panorama =Vanadis =BambniTest =MaterniT21 =ПГТ =PGT =PGT-A =PGTA =ПГТ-А =ПГТА =PGT-M =PGTM =ПГТ-М =ПГТМ =ПГТ-СР =PGS =PGD преимплантационн++генетическ преимплантационн++генетическ++тест преимплантационн++генетическ++диагност преимплантационн++генетическ++скрининг преимплантац++диагност анеуплоид++эмбрион моногенн++заболеван эмбрион++секвенирован =EmbryoMap =Igenomix =HLA HLA++типирован HLA-типирован HLA++генотипирован HLA-генотипирован =HLA+typing гистосовместим лейкоцитарн++антиген =HLA-A =HLA-B =HLA-C =HLA-DRB1 =HLA-DQB1 =HLA-DPB1 =KIR трансплантац++типирован иммуногенетическ++типирован =LinkSeq =AllType =NGSGo =Olerup =GenDx биочип биочипы биочип-ИМБ микрочип++ДНК ДНК++микрочип ДНК-чип DNA++microarray microarray++scanner микрочипов++анализ микроматричн++анализ хромосомн++микроматричн хромосомн++микроматричн++анализ array++scanner =microarray =SNP-array SNP-чип =CGH сравнительн++геномн++гибридизац array++CGH iScan BeadArray =BeadChip =Infinium =CytoSNP =OncoArray =MethylationEPIC EPIC++array Global++Screening++Array =GSA =Affymetrix =CytoScan =OncoScan =Axiom</f>
        <v/>
      </c>
      <c r="E18" s="4" t="inlineStr">
        <is>
          <t>Базовый (7.1) + ПЦР/ИФА/single-cell (7.2)</t>
        </is>
      </c>
      <c r="F18" s="15" t="inlineStr">
        <is>
          <t>ноутбук фоторадар транспорт транспорт+средств автомобил автомобиль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ноутбук компьютер сервер принтер картридж++принтер бумага мебель халат маск респиратор дезинфицир моющ++средств клининг  ПЦР ПЦР-РВ ПЦР++РВ РТ-ПЦР ОТ-ПЦР =rt-PCR =RT-PCR =qPCR real-time++PCR real++time++PCR ПЦР++реальном++времени полимеразн++цепн++реакц амплификатор термоциклер Rotor-Gene RotorGene CFX96 QuantStudio LightCycler ДТпрайм Дтпрайм Cobas++4800 cobas++z480 PCR++panel PCR++kit ИФА =ELISA иммуноферментн экспресс-тест тест-полос микробиологическ++посев питательн++среда бактериологическ++посев COVID SARS-CoV-2 коронавирус грипп ОРВИ ВИЧ сифилис гепатит туберкулез++ПЦР single-cell single++cell singlecell одноклеточн 10x++Genomics Chromium++Controller Chromium++Next++GEM spatial++transcriptomics пространственн++транскриптом Visium Xenium</t>
        </is>
      </c>
    </row>
    <row r="19" ht="150" customHeight="1">
      <c r="A19" s="14" t="n">
        <v>15</v>
      </c>
      <c r="B19" s="4" t="inlineStr">
        <is>
          <t>MDX_06_Sequencing_Services</t>
        </is>
      </c>
      <c r="C19" s="4" t="inlineStr">
        <is>
          <t>УСЛУГИ секвенирования: CES/WES/WGS, биоинф. интерпретация, аутсорс NGS
Бренды: Genotek, Атлас Биомед, Парсек-Лаб, Хеликон-CRO, Macrogen, BGI-CRO, Novogene-services, Foundation Medicine как услуга
⚑ Новый кластер (рекомендован к включению). Тип лота — услуги (ОКПД2 71.20 / 86.10).</t>
        </is>
      </c>
      <c r="D19" s="15" t="inlineStr">
        <is>
          <t>услуг++секвенирован услуг++секвенир оказан++услуг++секвенир выполнен++секвенирован выполнен++секвенир секвенирован++образц секвенирование++образц провести++секвенир аутсорс++секвенир секвенирован++на++аутсорс sequencing++service sequencing++as++service NGS-сервис NGS-аутсорс секвенирован++клиническ клиническ++секвенирован клиническ-молекулярн полногеномн++секвенирован полногеномн++секвенир WGS-услуг whole++genome++sequencing полногеномн++анализ полногеномн++исследован экзомн++секвенирован полноэкзомн++секвенирован полноэкзомн++секвенир WES-услуг whole++exome++sequencing экзомн++анализ экзомн++исследован клиническ++экзом =CES =WES =WGS =sWGS =scWGS shallow++WGS таргетн++секвенир таргетн++секвенирован таргетированн++секвенирован панельн++секвенирован targeted++sequencing++service РНК-секвенирован транскриптомн++секвенир =RNA-Seq RNA-Seq++услуг secret-Seq Сэнгер-секвенирован Сэнгер-секвенир Сенгер++услуг Sanger++sequencing++service Sanger-услуг ChIP-Seq ATAC-Seq метил-секвенирован метилирован++секвенир bisulfite++sequencing methylation++sequencing 16S-секвенирован 16S-rRNA метагеномн++секвенир метагеномик метагеномн++анализ shotgun++metagenomics клиническ++биоинформатик биоинформатическ++анализ биоинф++интерпретац вариант-каллинг интерпретац++варианнт интерпретац++генетическ++вариант clinical++variant++interpretation вариант++интерпретац ACMG-классификац +ACMG+classification +variant+annotation NGS-анализ NGS++данных++анализ pipeline++биоинформ +bioinformatics+pipeline +variant+calling++NGS provider++генетическ++услуг лабораторн++услуг++NGS услуг++лаборатор++NGS контракт++на++секвенир аутсорсинг++NGS NGS-CRO Genomics-CRO Genomics++as++a++Service GaaS аутосекр Sequencing-aaS provider++secrecy genomics-CRO ImmunoID NeoTYPE +Caris+MI+Profile Tempus++xT++услуг Foundation++Medicine++услуг F1CDx-услуг Foundation++One++услуг Personalis++услуг Genoscan-услуг Genoscan++Aurora-услуг Russian-NGS-CRO Atlas++Biomed Geno++Lab GeneTechnology Acumed Хеликон-Лаб БиоФьюжн-Лаб Парсек-Лаб BioFusion-Lab OncoAtlas-услуг Test-Gen-услуг ТестГен-услуг ImmunoExpert NextOncology NeoGenomics Novogene-аутсорс Novogene++services Novogene++для++клиент CD++Genomics Macrogen Macrogen++услуг Macrogen-EuropeFul++Genomics BGI-Tech-Solutions BGI-CRO MGI-Tech-CRO Hellobio-CRO LC-Sciences LC-Sciences-услуг CD++Genomics-услуг VariantPlex-услуг Иркутская-Лаб Иркутск++НГС Гены-Лаб Гены-Лаб++услуг Хеликон-CRO Genotek Геноаналитика Геноанализ Атлас++Биомед DNAFLAB Атлас++Biomed Парсек-EVO ОнкоАтлас-CRO услуг++полноэкзомн услуг++полногеномн услуг++подготовк++библиотек подготовка++библиотек++на++заказ услуг++NGS-библиотек услуг++пробоподготовк++NGS пробоподготовк++NGS++услуг</t>
        </is>
      </c>
      <c r="E19" s="4" t="inlineStr">
        <is>
          <t>Базовый (7.1). ПЦР-блок (7.2) НЕ ставить целиком — в услугах ПЦР упоминается как этап pipeline. Если шумно — добавить только узкие маркеры: cobas Rotor-Gene LightCycler ДТпрайм CFX96 QuantStudio амплификатор</t>
        </is>
      </c>
      <c r="F19" s="15" t="inlineStr">
        <is>
          <t>ноутбук фоторадар транспорт транспорт+средств автомобил автомобиль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ноутбук компьютер сервер принтер картридж++принтер бумага мебель халат маск респиратор дезинфицир моющ++средств клининг</t>
        </is>
      </c>
    </row>
    <row r="20" ht="150" customHeight="1">
      <c r="A20" s="11" t="n">
        <v>16</v>
      </c>
      <c r="B20" s="12" t="inlineStr">
        <is>
          <t>MDX_05_Service  (опц.)</t>
        </is>
      </c>
      <c r="C20" s="12" t="inlineStr">
        <is>
          <t>Сервис ТОЛЬКО Illumina / MGI-DNBSEQ / ABI 3500 (узкий скоуп)
Бренды: Illumina, MGI/DNBSEQ, ABI 3500/3500xL, SeqStudio</t>
        </is>
      </c>
      <c r="D20" s="16" t="inlineStr">
        <is>
          <t>техническ++обслуживан техобслуживан сервисн++обслуживан сервис++секвенатор обслуживание++секвенатор обслуживан++секвенатор ремонт++секвенатор диагностика++секвенатор сервис++генетическ++анализатор обслуживан++генетическ++анализатор ремонт++генетическ++анализатор профилактическ++обслуживан регламентн++обслуживан планов++обслуживан планов++техническ++обслуживан++секвенатор регулярн++техническ++обслуживан++секвенатор сервисн++контракт сервисн++поддержк техническ++поддержк восстановлен++работоспособн калибровк++секвенатор квалификац++оборудован валидац++секвенатор IQ OQ PQ =IQ-OQ =OQ-PQ =IQ/OQ/PQ Q-аттестац инсталляционн++квалификац операционн++квалификац эксплуатационн++квалификац запасн++част запчаст++секвенатор Illumina Иллюмина MiSeq MiSeqDx NextSeq NextSeq++550 NextSeq++550Dx NextSeq++1000 NextSeq++2000 NovaSeq NovaSeq++6000 NovaSeq++X iSeq MiniSeq HiSeq iScan MGI MGI++Tech BGI DNBSEQ MGISEQ DNBSEQ-G50 DNBSEQ-G99 DNBSEQ-G400 MGISEQ-200 MGISEQ-2000 HELICON++G50 HELICON++G400 Хеликон++G50 Хеликон++G400 Applied++Biosystems =ABI ABI++3500 ABI++3500xL =3500xl =3500XL 3500++Genetic++Analyzer 3500xL++Genetic++Analyzer Applied++Biosystems++3500 Applied++Biosystems++3500xL Thermo++Fisher Life++Technologies SeqStudio</t>
        </is>
      </c>
      <c r="E20" s="12" t="inlineStr">
        <is>
          <t>Только базовый (7.1). ПЦР-блок (7.2) НЕ нужен — скоуп и так ограничен моделями.</t>
        </is>
      </c>
      <c r="F20" s="16" t="inlineStr">
        <is>
          <t>ноутбук фоторадар транспорт транспорт+средств автомобил автомобиль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ноутбук компьютер сервер принтер картридж++принтер бумага мебель халат маск респиратор дезинфицир моющ++средств клининг</t>
        </is>
      </c>
    </row>
    <row r="21">
      <c r="A21" s="13" t="inlineStr">
        <is>
          <t>▎ Общелабораторное</t>
        </is>
      </c>
    </row>
    <row r="22" ht="150" customHeight="1">
      <c r="A22" s="14" t="n">
        <v>17</v>
      </c>
      <c r="B22" s="4" t="inlineStr">
        <is>
          <t>LAB_01_Climate</t>
        </is>
      </c>
      <c r="C22" s="4" t="inlineStr">
        <is>
          <t>CO2-инкубаторы, термостаты, сушильные шкафы, климатокамеры, муфельные/трубчатые печи
Бренды: Memmert, Binder, Thermo Heracell/Heratherm, Lauda, Julabo, Huber, Nabertherm, Carbolite, СНОЛ, ШС, Eppendorf ThermoMixer</t>
        </is>
      </c>
      <c r="D22" s="15" t="inlineStr">
        <is>
          <t>инкубатор СО2-инкубатор СО2++инкубатор CO2-инкубатор CO2++инкубатор углекислотн++инкубатор инкубатор++углекислотн инкубатор++клеточн++культур инкубатор++ткань CO2++incubator CO2-incubator =CelCulture клеточн++инкубатор бактериологическ++инкубатор биологическ++термостат микробиологическ++инкубатор инкубатор++лабораторн лабораторн++инкубатор воздушн++инкубатор инкубатор++конвекционн инкубатор++принудительн циркуляц++воздух термостат термостат++лабораторн лабораторн++термостат термостат++суховоздушн суховоздушн++термостат термостат++суховоздушный термостат++водян водян++термостат водяная++бан водяная++баня лабораторн++водян++бан термостат++циркуляционн циркуляционн++термостат термостат++охлажда охлажда++термостат криостат криотерм холодильн++термостат термостат++нагрева нагрева++термостат термостат++жидкостн нагрев-охлажда++термостат термостат++пельтье =Peltier термостат++сухоблочн сухоблочн++термостат термошейкер термоблок термостатир++блок термостат++суховоздушный++ТСО шкаф++суши шкаф++сушильн сушильн++шкаф сушильн++шкафы лабораторн++сушильн++шкаф сушильн++стерилизационн вакуумн++сушильн++шкаф шкаф++лабораторн++сушильн++ШС =ШС-80 =ШС-40 =ШС-65 =ШСС =СНОЛ камера++климатическ климатическ++камер климатокамер влажностн++камер климат-камер климатическ++испытан камера++постоянн++услови constant++climate test++chamber камер++стабильн камер++стабильности термокамер термостатн++камер термостатн++комнат термошкаф постоянство++температур печь++муфельн муфельн++печь высокотемпературн++печь печь++трубчатая трубчат++печь лабораторн++печь печь++лабораторн прокалочн++печь печь++прокалочн обжиговая++печь печь++лабораторн++до++1200 печь++лабораторн++до++1100 печь++лабораторн++до++1500 печь++лабораторн++до++1700 высокотемпературн++электрическ++печь электропеч муфел tube++furnace muffle++furnace термошкаф++ванны Memmert Меммерт Мемерт =Memmert =UN30 =UN55 =UN75 =UN110 =UN160 =UN260 =UN450 =UN750 =UF30 =UF55 =UF75 =UF110 =UF160 =UF260 =UF450 =UF750 =UFP400 =UFP500 =UFP700 =UFP800 =UFE500 =UFE600 =UFE700 =UFB400 =UFB500 =UFB700 =SF55 =SF75 =SF110 =SF160 =SF260 =SF450 =SF750 =SFE500 =SFE600 =SFP500 =SFP800 IN30 IN55 IN75 IN110 IN160 IN260 IN450 IN750 INplus INplus30 INplus55 INplus110 IFplus IFplus30 IFplus55 IFplus110 IFplus160 IFplus260 IFplus450 IFplus750 =IPP30 =IPP55 =IPP110 =IPP260 =IPP410 =IPP500 =IPP750 ICO50 ICO105 ICO150 ICO240 =ICOmed150 =ICOmed240 HCP50 HCP105 HCP150 HCP240 HPP110 HPP260 HPP410 HPP750 WB7 WB14 WB22 WB29 WPE45 WBU45 WTB22 WBE22 WNB10 WNB14 WNB22 WNB29 SN30 SN55 SN75 SN110 SN160 SN260 SN450 SN750 SE110 SE260 SE450 SE750 Binder Биндер Биндер =Binder =KB23 =KB53 =KB115 =KB240 =KB400 =KB720 =CB53 =CB60 =CB100 =CB150 =CB160 =CB210 =CB220 =CB260 =BF53 =BF115 =BF240 =BF400 =BF720 =BD23 =BD56 =BD115 =BD240 =BD400 =BD720 =ED23 =ED53 =ED115 =ED240 =ED400 =ED720 =FD23 =FD53 =FD115 =FD240 =FD400 =FD720 =FED23 =FED53 =FED115 =FED240 =FED400 =FED720 =FP23 =FP53 =FP115 =FP240 =FP400 =FP720 =KBF =MKF =MKFT =KMF =VD23 =VD53 =VD115 =VD240 =VD400 Thermo++Heracell Heracell++150 Heracell++240 Heracell++150i Heracell++240i Heracell++VIOS Heracell++Vios Thermo++Heratherm Heratherm++IGS Heratherm++OGS Heratherm++OMS Heratherm++OMH Forma++Series Forma++3110 Forma++3120 Sanyo++MCO MCO-15AC MCO-18AIC MCO-19AIC MCO-20AIC MCO-5AC Panasonic++MCO Eppendorf++Galaxy Galaxy++14S Galaxy++48S Galaxy++48R Galaxy++170R Galaxy++170S CelCulture++CCL Esco++CelCulture Esco++Isotherm Esco++MCO Pol-Eko Pol-Eko-Aparatura CLN CHL CLW SLN Lauda Лауда Лаудер =Lauda Lauda++ECO =Lauda++Alpha =Lauda++Proline =Lauda++Integral =Lauda++Variocool =Lauda++Microcool =Lauda++Hydro =Lauda++Aqualine Julabo Юлабо Жулабо =Julabo Julabo++CORIO Julabo++MX Julabo++FP Julabo++F25 Julabo++FPW Julabo++MA Julabo++Magnio Julabo++Highlight Julabo++Dyneo Huber Хубер =Huber Huber++CC Huber++Unistat Huber++Compatible++Control Huber++Ministat Huber++Polystat Huber++MPC Polyscience Полисайнс =Polyscience Polyscience++WhisperCool ThermoFlex GFL =GFL ОПП-2-78 ТСЛ ТСЛ-1 ТСЛ-2 БУГ ВТ-20 ВТ-25 ВТ-50 БСВ Эппендорф ThermoMixer ThermoStat ThermoMixer++C ThermoMixer++F ThermoMixer++FP ThermoStat++C BioSan TS-100 TS-100C TS-100D TS-100E TS-100M PSC-20 Korvet Корвет Lab++Companion DRY-LINE Жидкая++баня жидк++баня =Memmert++WB Memmert++WB7 Memmert++WB14 СНОЛ-1 СНОЛ-2 СНОЛ-3 СНОЛ-7 СНОЛ-12 СНОЛ-50 СНОЛ-3,5 ЭКПС Накал =ПЗАН Nabertherm Наберхтерм Набертерм =Nabertherm L3 L5 L9 L15 LE6 LE14 LH15 LH30 LH60 LH120 LHT04 LHT08 LHT4 LHT8 LHT15 LHT16 LT5 LT9 LT15 LT24 LT40 LT80 N7 N11 N17 N31 NA5 NA7 NA15 NA17 NA40 P330 RHTH NRA17 LBR05 RT50-250 RT04 R7 R30 R50 R80 R120 RT-150 Carbolite Карболайт =Carbolite =CWF =RWF =CTF =STF =TZF =MTF =HRF =HZS Carbolite++Gero Lindberg++Blue++M Thermolyne =Thermolyne =Vulcan Vulcan++3-130 Vulcan++3-550 Vulcan++3-1750 Mufflestar TFS NF Espec Эспек =Espec Espec++PR Espec++PL Espec++SH Espec++ARS climatic++chamber temperature++humidity++chamber stability++chamber =ICH-климат ICH++stability =ВКА =ВЕКА Каскад ВЛИ Витязь ШС-80-01 ШС-80-СПУ ШС-200-2 САМ-50 ЭКПС ЭКПС-10 ЭКПС-50 ЭКПС-30</t>
        </is>
      </c>
      <c r="E22" s="4" t="inlineStr">
        <is>
          <t>Базовый (7.1) + отсечь аналитику/молекулярку (7.2)</t>
        </is>
      </c>
      <c r="F22" s="15" t="inlineStr">
        <is>
          <t>ноутбук компьютер сервер принтер картридж++принтер бумага мебель халат маск респиратор дезинфицир моющ++средств клининг уборк ноутбук фоторадар транспорт автомобил автомобиль обществ+мнен охот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конференц+связь дошкольн навигац барометр налогов =ИКТ научн+чтен пылесос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родовспомож холодильник++бытов морозильник++бытов холодильник++пищевой холодильник++торгов холодильник++минимаркет холодильн+ларь холодильн+витрина бытовая++техника промышленн++печь промышленн++реактор промышленн++стерилиз индустриальн++автоклав индустриальн++биореактор УЗИ-аппарат =ЭКГ электрокардиограф эндоскоп рентген++аппарат томограф маммограф флюорограф КТ-аппарат МРТ-аппарат стоматологическ++установк гинекологическ++кресл операционн++стол наркозн++аппарат аппарат++искусствен++вентиляц++легк  хроматограф масс-спектрометр спектрометр секвенатор амплификатор ВЭЖХ HPLC =GC =LC-MS =GC-MS =ICP-MS =ICP-OES =AAS =FTIR =UV-Vis =NGS ПЦР =qPCR =qRT-PCR Illumina NovaSeq MGI DNBSEQ ABI++3500 ANALYZER++DNA генетическ++анализатор анализатор++генетическ</t>
        </is>
      </c>
    </row>
    <row r="23" ht="150" customHeight="1">
      <c r="A23" s="14" t="n">
        <v>18</v>
      </c>
      <c r="B23" s="4" t="inlineStr">
        <is>
          <t>LAB_02_Sterilization</t>
        </is>
      </c>
      <c r="C23" s="4" t="inlineStr">
        <is>
          <t>Паровые автоклавы, сухожаровые / плазменные / газовые стерилизаторы
Бренды: Tuttnauer, Systec, Steris, Memmert SF, ВК-30/75, ГК-100, ГП-560, ШСС, Sterrad</t>
        </is>
      </c>
      <c r="D23" s="15" t="inlineStr">
        <is>
          <t>автоклав автоклав++лабораторн автоклав++паровой паров++автоклав автоклав++медицинск медицинск++автоклав автоклав++стерилизац стерилизационн++автоклав вертикальн++автоклав горизонтальн++автоклав настольн++автоклав стерилизатор стерилизатор++паровой паровой++стерилизатор паров++стерилизатор стерилизатор++горизонтальн стерилизатор++вертикальн стерилизатор++лабораторн лабораторн++стерилизатор стерилизатор++медицинск медицинск++стерилизатор steam++sterilizer steam++autoclave laboratory++autoclave стерилизац++пар стерилизация++паром стерилизация++сухим++жар сухожаровой++стерилизатор стерилизатор++сухожаровой воздушн++стерилизатор стерилизатор++воздушн стерилизатор++сухой++жар стерилизатор++суховоздушн суховоздушн++стерилизатор hot++air++sterilizer dry++heat++sterilizer плазменн++стерилизатор стерилизатор++плазменн H2O2++стерилизатор перекисн++стерилизатор низкотемпературн++стерилизатор низкотемпературн++стерилизац газов++стерилизатор стерилизатор++газов EO-стерилизатор ETO-стерилизатор этиленоксидн++стерилизатор формальдегидн++стерилизатор стерилизатор++форвакуумн форвакуумн++стерилизатор вакуумн++стерилизатор предвакуумн++стерилизатор форвакуум++цикл стерилизац++цикл цикл++стерилизац B-класс B++класс предвакуумн++стерилизатор циркуляц++стерилизатор бикс бикс++стерилизац бикс++медицинск бикс++упаковочн камера++автоклав камера++стерилизатор Tuttnauer Туттнауэр Тутнауер =Tuttnauer Tuttnauer++2540 Tuttnauer++3870 Tuttnauer++3850 Tuttnauer++5075 Tuttnauer++5596 Tuttnauer++23 Tuttnauer++T-Edge T-Edge T-Lab T-Max T-Smart T-Care Systec Систек =Systec Systec++V Systec++D Systec++H Systec++DE-23 Systec++DX-30 Systec++DX-45 Systec++DX-65 Systec++DX-90 Systec++DX-150 Systec++DX-200 Systec++VX-65 Systec++VX-95 Systec++VX-150 Systec++VX-200 Steris =Steris Steris++Amsco Amsco++Lab Getinge =Getinge Getinge++LSB Getinge++HS66 Mocom =Mocom Mocom++Millennium Mocom++Exacta Cisa =Cisa Astell =Astell Liarre =Liarre PHCBI PHCBI++autoclave Memmert++SF Memmert++SF55 Memmert++SF75 Memmert++SF110 Memmert++SF160 Memmert++SF260 Memmert++SF450 Memmert++SF750 Memmert++SFE Memmert++SFP Memmert++Heating++Cooling++Incubators ВК-30 ВК-30-01 ВК-30-Я-ФП ВК-75 ВК-75-Я-ФП ВКа-75 ВКу-50 ВКу-75 ГК-100 ГК-100-3 ГП-560 ГПа-560 ГП-560-2 ГПД-280 ГПД-460 ГПД-560 ШСС ШСС-80 ШСС-200 ШС-80 ШСС-80П ВВ-30 СтериСан ВЛКМ ШСвЛ Тюменьмедико ТЗМОИ ВОС-200 АВОТ Astell++Hybrid Astell++Compact Getinge++Quadro Sterrad =Sterrad Sterrad++100NX Sterrad++NX Sterrad++100S V-Pro V-PRO++Steris ASP Anprolene Andersen++Anprolene 3M++Steri-Vac Bionet Renosem</t>
        </is>
      </c>
      <c r="E23" s="4" t="inlineStr">
        <is>
          <t>Базовый (7.1) + отсечь аналитику/молекулярку (7.2)</t>
        </is>
      </c>
      <c r="F23" s="15" t="inlineStr">
        <is>
          <t>ноутбук компьютер сервер принтер картридж++принтер бумага мебель халат маск респиратор дезинфицир моющ++средств клининг уборк ноутбук фоторадар транспорт автомобил автомобиль обществ+мнен охот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конференц+связь дошкольн навигац барометр налогов =ИКТ научн+чтен пылесос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родовспомож холодильник++бытов морозильник++бытов холодильник++пищевой холодильник++торгов холодильник++минимаркет холодильн+ларь холодильн+витрина бытовая++техника промышленн++печь промышленн++реактор промышленн++стерилиз индустриальн++автоклав индустриальн++биореактор УЗИ-аппарат =ЭКГ электрокардиограф эндоскоп рентген++аппарат томограф маммограф флюорограф КТ-аппарат МРТ-аппарат стоматологическ++установк гинекологическ++кресл операционн++стол наркозн++аппарат аппарат++искусствен++вентиляц++легк  хроматограф масс-спектрометр спектрометр секвенатор амплификатор ВЭЖХ HPLC =GC =LC-MS =GC-MS =ICP-MS =ICP-OES =AAS =FTIR =UV-Vis =NGS ПЦР =qPCR =qRT-PCR Illumina NovaSeq MGI DNBSEQ ABI++3500 ANALYZER++DNA генетическ++анализатор анализатор++генетическ</t>
        </is>
      </c>
    </row>
    <row r="24" ht="150" customHeight="1">
      <c r="A24" s="14" t="n">
        <v>19</v>
      </c>
      <c r="B24" s="4" t="inlineStr">
        <is>
          <t>LAB_03_Evaporation</t>
        </is>
      </c>
      <c r="C24" s="4" t="inlineStr">
        <is>
          <t>Роторные испарители, концентраторы, лиофильные сушилки, ультразвук
Бренды: Buchi Rotavapor, Heidolph Hei-VAP, IKA RV, Christ Alpha, Labconco FreeZone, Eppendorf Concentrator, Elma, Bandelin, Hielscher</t>
        </is>
      </c>
      <c r="D24" s="15" t="inlineStr">
        <is>
          <t>ротор++испарител роторн++испарител испаритель++роторн ротационн++испарител испарительн++колб роторно-пленочн++испарител плёночн++испарител пленочн++испарител rotary++evaporator =Rotavapor rotavapor испарительн++установк дистилл++установк лабораторн++дистиллятор Buchi Бюхи Бухи Буши =Buchi =Büchi =Rotavapor =R-100 =R-200 =R-210 =R-220 =R-300 =R-3 =R-114 =R-205 =R-215 Rotavapor++R-100 Rotavapor++R-200 Rotavapor++R-220 Rotavapor++R-300 Buchi++R-100 Buchi++R-300 Buchi++Syncore Buchi++Multivapor Buchi++Sublimator Heidolph Хайдольф Хейдольф =Heidolph =Hei-VAP =Hei-VAP+Core =Hei-VAP+Value =Hei-VAP+Advantage =Hei-VAP+Industrial =Hei-Vap+Expert =Hei-Vap+Precision =Hei-Vap+Pro =Hei-VAP+Ultimate =Laborota Laborota++4000 Laborota++4001 Laborota++4002 Laborota++4003 Laborota++4010 Laborota++4011 Laborota++20 Hei-VAC Heidolph++Distimatic IKA ИКА =IKA =RV =RV3 =RV5 =RV8 =RV10 =RV10-V =RV10-VC =RV10-VC-S =RV+10 =RV+8 RV++basic RV++digital =RV+10+digital RC++basic Stuart RE300 RE301 RE401 Witeg =Witeg-Lab WEV-1001L WEV-1001S WEV-1001V ZP++rotary KNF=Laboport KNF-Rotavac LK Yamato RE201 RE211 RE301 RE801 RE-501 Eyela N-1100 N-1100V N-1200B N-1300 SB-1300 Lab++Companion RE-100 RE-200 концентратор вакуумн++концентратор центрифуж++концентратор speed++vac =SpeedVac CentriVap GeneVac EZ-2 EZ-2++Elite EZ-2++Series HT-4 HT-4X HT-12 HT-24 EZ-2++Personal Christ Кристель =Christ =Alpha =Alpha+1-2 =Alpha+2-4 Alpha++1-2++LD Alpha++2-4++LD Alpha++3-4 Beta++1-8 Epsilon++2-4 Epsilon++2-6 Epsilon++2-10 Epsilon++2-25 RVC++2-18 RVC++2-25 RVC++2-33 Gamma Labconco =Labconco FreeZone FreeZone++Plus FreeZone++Triad FreeZone++1L FreeZone++2.5L FreeZone++4.5L FreeZone++6L FreeZone++12L FreeZone++18L FreeZone++Console FreeZone++Stoppering CentriVap CentriVap++Benchtop CentriVap++DNA лиофильн++сушк лиофильн++сушилк лиофильная++сушилка сушилка++лиофильн установк++лиофильн freeze-dryer freeze++dryer lyophilizer лиофилизатор сублимац++сушк сублимац++установк ИУ-2 ИУ-3 ЛС-3 ЛС-1000 ЛС-500 ВТ-25 ВТ-60 Telstar Тельстар =Telstar Telstar++LyoQuest Telstar++LyoBeta Telstar++LyoAlfa SP++Scientific SP++VirTis VirTis VirTis++AdVantage VirTis++Genesis VirTis++Wizard Pirani GEA AdVantage Millrock Cuddon Бамо МиниСушка =SureLyo Frozone Mfg Frozen Centrifugal vacuum evaporator =Concentrator+5301 =Concentrator+5305 =Eppendorf+5301 =Eppendorf+5305 =Vacufuge Vacufuge++plus Eppendorf++Concentrator++Plus ультразвуков++ванн ультразвук++ванн ванн++ультразвуков ванн++ультразвук++очистк ультразвуков++очистк ультразвуков++процессор ультразвуков++диспергатор ultrasonic++bath ultrasonic++processor ultrasonic++homogenizer ultrasonic++cleaner sonic++bath sonotrode зонд++ультразвук Elma Эльма =Elma Elma++E Elma++S Elma++P Elma++X-tra Elmasonic Elmasonic++S Elmasonic++P Elmasonic++X-tra Elmasonic++Easy Elmasonic++One Bandelin Банделин =Bandelin Sonorex Sonorex++Digitec Sonorex++Super Sonorex++Bandelin Sonorex++DT Sonorex++TK SonoPuls Bandelin++SonoPuls Bandelin++SonoTrode Bandelin++HD Hielscher Хильшер =Hielscher =UP200H =UP200S =UP400S =UIP500hd =UIP1000hd UP++50H UP++100H Branson Брансон Бренсон =Branson Branson++2510 Branson++2800 Branson++3510 Branson++3800 Branson++5510 Branson++5800 Branson++8510 Branson++Sonifier Sonifier++450 Sonifier++550 Сапфир Сапфир-ТТЦ ULTRAclean PSB-9 ПСБ Stegler СитиУльтра Misonix Q-Sonica</t>
        </is>
      </c>
      <c r="E24" s="4" t="inlineStr">
        <is>
          <t>Базовый (7.1) + отсечь аналитику/молекулярку (7.2)</t>
        </is>
      </c>
      <c r="F24" s="15" t="inlineStr">
        <is>
          <t>ноутбук компьютер сервер принтер картридж++принтер бумага мебель халат маск респиратор дезинфицир моющ++средств клининг уборк ноутбук фоторадар транспорт автомобил автомобиль обществ+мнен охот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конференц+связь дошкольн навигац барометр налогов =ИКТ научн+чтен пылесос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родовспомож холодильник++бытов морозильник++бытов холодильник++пищевой холодильник++торгов холодильник++минимаркет холодильн+ларь холодильн+витрина бытовая++техника промышленн++печь промышленн++реактор промышленн++стерилиз индустриальн++автоклав индустриальн++биореактор УЗИ-аппарат =ЭКГ электрокардиограф эндоскоп рентген++аппарат томограф маммограф флюорограф КТ-аппарат МРТ-аппарат стоматологическ++установк гинекологическ++кресл операционн++стол наркозн++аппарат аппарат++искусствен++вентиляц++легк  хроматограф масс-спектрометр спектрометр секвенатор амплификатор ВЭЖХ HPLC =GC =LC-MS =GC-MS =ICP-MS =ICP-OES =AAS =FTIR =UV-Vis =NGS ПЦР =qPCR =qRT-PCR Illumina NovaSeq MGI DNBSEQ ABI++3500 ANALYZER++DNA генетическ++анализатор анализатор++генетическ</t>
        </is>
      </c>
    </row>
    <row r="25" ht="150" customHeight="1">
      <c r="A25" s="14" t="n">
        <v>20</v>
      </c>
      <c r="B25" s="4" t="inlineStr">
        <is>
          <t>LAB_04_Mixing_Homogenization</t>
        </is>
      </c>
      <c r="C25" s="4" t="inlineStr">
        <is>
          <t>Мешалки (магн./верхнепривод), шейкеры, вортексы, гомогенизаторы, мельницы
Бренды: IKA, Heidolph, Velp, Stuart, Eppendorf, Retsch, Fritsch, BioSan, Корвет</t>
        </is>
      </c>
      <c r="D25" s="15" t="inlineStr">
        <is>
          <t>магнитн++мешалк мешалк++магнитн магнитная++мешалка магнитная++мешалка++с++подогревом верхнеприводн++мешалк мешалк++верхнеприводн пропеллерн++мешалк лопастн++мешалк якорн++мешалк мешалк++лабораторн лабораторн++мешалк mechanical++stirrer overhead++stirrer magnetic++stirrer hotplate++stirrer лабораторн++перемешиватель перемешиватель++лабораторн встряхиватель встряхиватель++лабораторн лабораторн++встряхиватель shaker++лабораторн шейкер++лабораторн лабораторн++шейкер шейкер шейкер++орбитальн орбитальн++шейкер шейкер++линейн линейный++шейкер качающ++шейкер 3D-шейкер шейкер-инкубатор шейкер++для++пробирок шейкер++планшетн пластинчат++шейкер микропланшетн++шейкер микроплашетн++встряхиватель orbital++shaker linear++shaker rocker++shaker rocker rotator вортекс мини-вортекс лабораторн++вортекс вортекс-миксер vortex++mixer vortex++shaker shaker++vortex микровстряхиватель гомогенизатор лабораторн++гомогенизатор гомогенизатор++лабораторн ножев++гомогенизатор стержнев++гомогенизатор пробоподготовительн++гомогенизатор bead++mill bead++beater диспергатор лабораторн++диспергатор Ultra-Turrax Ultra++Turrax homogenizer disperser high++shear++mixer мельниц лабораторн++мельниц мельниц++лабораторн планетарн++мельниц шаров++мельниц шаровая++мельница вибрационн++мельниц ножев++мельниц mill++laboratory ball++mill planetary++mill cutting++mill mortar++grinder Mixer++Mill rotor++mill IKA ИКА =IKA =RCT =RCT-Basic =RH =RH-Basic RH++digital RCT++Basic RCT++digital RCT++Standard C-MAG++HS C-MAG++MS C-MAG++HP =RET =RET+Basic =RET+control =RET+B C-MAG++HS7 C-MAG++HS10 RH++basic+2 RH++digital+2 =Eurostar =Eurostar+20 =Eurostar+40 =Eurostar+60 =Eurostar+100 =Eurostar+200 =Eurostar+Power Eurostar++control RW20 RW25 RW28 RW++digital Microstar Lab++Egg =MS+1+Minishaker MS++1 =MS+3 =MS+3+digital VG-3 KS++130 KS++260 KS++3000 KS-15 KS-501 HS++260 HS++501 ROCKER MR++3+basic MR++Hei +Standard MR++Hei-End =T10 =T18 =T25 =T50 T10++basic T18++basic T18++digital T25++digital T50++digital A11 A11++basic =A10 =A20 M20 MF10 MF10++basic MultiDrive Yellow++line MagicLab Heidolph Хейдольф Хайдольф =Heidolph Hei-Mix Hei-Plate Hei-Plate++Tec Hei-Plate++Value Hei-Plate++Standard Hei-Mix+S Hei-Tec Hei-TORQUE Hei-TORQUE++Core Hei-TORQUE++Value Hei-TORQUE++Expert Hei-TORQUE++Ultimate RZR++2020 RZR++2102 RZR++50 RZR++100 RZR++200 SilentCrusher SilentCrusher++M SilentCrusher++S Diax++900 Diax++600 Reax Reax++Top Reax++2000 Reax++2050 Reax++Control Unimax Unimax++1010 Unimax++2010 Polymax Polymax++1040 Polymax++2040 Promax Inkubator Inkubator++1000 Inkubator++1010 Vibramax Titramax Rotamax Velp Велп =Velp F20 F25 F60 F100 F40 F202 F203 F204 F205 ARE AREX AREC AREX-6 MultiHS Multi-Stirrer SF1 SF40 OS20 OS40 OS80 SK-300 SK-O330-Pro VTF Vortex++F202A2 OV5 Stuart Стюарт =Stuart SB161 SB162 SB163 SD162 SD161 UC152 SS3 SS40 SSC1 SSC3 SSL3 SSL4 SSL5 SSM1 SA8 SA7 SR2 SR5 RT5 SB300 SHM2 SHO5D SI500 SI505 SI550 OS5 OS10 Eppendorf Эппендорф =Eppendorf Innova Innova++S44i Innova++S40i Innova++44 Innova++44R Multitron Multitron++Cell Multitron++Pro Multitron++Standard Multitron++Eco INFORS++HT Infors++HT New++Brunswick New++Brunswick++I26 Edmund++Bühler =Edmund+Bühler PA-25 KS-15 KS-15++Control KM-2 KL-2 SM-30 TH-30 BC-30 KS++4000 BioSan Биосан =BioSan Multi-Spin MR-1 MR-12 Bio++RS-24 Bio++RS Multi+Bio+RS-24 OS-10 OS-20 PSU-10i PSU-20i Combi-Spin RotoBot SkyLine TS-100 TS-100C MSV-3500 SkyLine++Shaker BioShake++iQ Wiggens Witeg WSC-1503 WSO-100 WSO-200 WSO-100T WSC-1501-N WSB-30 OS-2000 OS-3000 Daihan WiseMix WiseStir WiseShake Wisd MS20 MSH-20D-Set MS-20 ESL-160 Lab++Companion AS-1 IS-971R IS-971RF IS-971RFS BFR-50CD SHO-2D SHO-1D SO-160 Корвет Korvet PHMT-PSC18 PHMT-PSC24 Polytron Политрон Polytron+PT Polytron++PT-1200 Polytron++PT-2500 Polytron++PT-3100 Polytron++MR3100 Kinematica Polytron++Aggregate Polytron++PT-D Bio-Gen Bio-Gen-PRO PRO-Scientific Multi-Gen Bertin++Precellys Precellys++24 Precellys++Evolution Mixer++Mill MM200 MM301 MM400 MM500 MM++500++nano MM200++Cryomill Retsch Ретч =Retsch Retsch++PM PM100 PM200 PM400 Retsch++GM200 GM300 GM301 SM100 SM200 SM300 RM200 RM200++Mortar++Grinder GM++200 GM++300 RM++200 ZM200 ZM300 RS200 TM300 Cyclotec Cyclotec++1093 Cyclotec++CT++410 Foss FossDecanter Cyclotec Hammertec Cyclotec++3010 Pulverisette Pulverisette++0 Pulverisette++1 Pulverisette++2 Pulverisette++3 Pulverisette++5 Pulverisette++6 Pulverisette++7 Pulverisette++11 Pulverisette++14 Pulverisette++15 Pulverisette++16 Fritsch =Fritsch =Glen+Mills =SPEX +Geno/Grinder SPEX++8000 SPEX++8000D Geno/Grinder BeadBug BeadBug++D1030 D1030 Omni Omni-Bead++Ruptor Beadbeater Mini-Beadbeater BioSpec MiniBeadbeater SC-30 Cole-Parmer Mortar Стержневая Цеолитов</t>
        </is>
      </c>
      <c r="E25" s="4" t="inlineStr">
        <is>
          <t>Базовый (7.1) + отсечь аналитику/молекулярку (7.2)</t>
        </is>
      </c>
      <c r="F25" s="15" t="inlineStr">
        <is>
          <t>ноутбук компьютер сервер принтер картридж++принтер бумага мебель халат маск респиратор дезинфицир моющ++средств клининг уборк ноутбук фоторадар транспорт автомобил автомобиль обществ+мнен охот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конференц+связь дошкольн навигац барометр налогов =ИКТ научн+чтен пылесос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родовспомож холодильник++бытов морозильник++бытов холодильник++пищевой холодильник++торгов холодильник++минимаркет холодильн+ларь холодильн+витрина бытовая++техника промышленн++печь промышленн++реактор промышленн++стерилиз индустриальн++автоклав индустриальн++биореактор УЗИ-аппарат =ЭКГ электрокардиограф эндоскоп рентген++аппарат томограф маммограф флюорограф КТ-аппарат МРТ-аппарат стоматологическ++установк гинекологическ++кресл операционн++стол наркозн++аппарат аппарат++искусствен++вентиляц++легк  хроматограф масс-спектрометр спектрометр секвенатор амплификатор ВЭЖХ HPLC =GC =LC-MS =GC-MS =ICP-MS =ICP-OES =AAS =FTIR =UV-Vis =NGS ПЦР =qPCR =qRT-PCR Illumina NovaSeq MGI DNBSEQ ABI++3500 ANALYZER++DNA генетическ++анализатор анализатор++генетическ</t>
        </is>
      </c>
    </row>
    <row r="26" ht="150" customHeight="1">
      <c r="A26" s="14" t="n">
        <v>21</v>
      </c>
      <c r="B26" s="4" t="inlineStr">
        <is>
          <t>LAB_05_Reactors</t>
        </is>
      </c>
      <c r="C26" s="4" t="inlineStr">
        <is>
          <t>Биореакторы/ферментёры, химические реакторы, синтезаторы, микроволновые
Бренды: Sartorius BIOSTAT/ambr, Eppendorf BioFlo/DASGIP, INFORS, Applikon, Cytiva, Buchi, Asynt, Radleys, Mettler OptiMax/EasyMax, Anton Paar, CEM, Milestone, Parr, Berghof</t>
        </is>
      </c>
      <c r="D26" s="15" t="inlineStr">
        <is>
          <t>биореактор биореактор++лабораторн лабораторн++биореактор ферментер ферментёр ферментер++лабораторн лабораторн++ферментер биореактор++миниатюрн пилотн++биореактор пилотн++ферментер биореактор++настольн биореактор++перемешива биореактор++аэрационн биореактор++ферментац ферментац++сосуд ферментац++реактор fermenter bioreactor laboratory++bioreactor pilot++bioreactor stirred-tank++bioreactor stainless++steel++bioreactor одноразов++биореактор одноразов++ферментер single-use++bioreactor single-use++fermenter SUB рокинг++биореактор wave-биореактор wave++bioreactor биореактор++клеточн++культур cell++culture++bioreactor микробиологическ++биореактор бак++реакц бак++ферментац химическ++реактор реактор++лабораторн лабораторн++реактор лабораторн++реакторная++система реакц++сосуд реакц++колб реакторная++система реакторная++установка калориметрическ++реактор лабораторн++синтез автоклавн++реактор давлен++реактор реактор++высок++давлен высок-давлен++реактор reaction++calorimeter laboratory++reactor jacketed++reactor pressure++reactor parallel++synthesis++station параллельн++синтез параллельн++реактор синтезатор лабораторн++синтезатор пептидн++синтезатор автоматическ++синтезатор олигонуклеотидн++синтезатор +пептид+синтез +олигосинтез микроволнов++синтезатор microwave++synthesizer microwave++reactor microwave++digestion микроволнов++минерализ микроволнов++разложен гидротермальн++реактор гидротермальн++синтез Sartorius Сарториус Сартериус =Sartorius BIOSTAT BIOSTAT++A BIOSTAT++B BIOSTAT++B-DCU BIOSTAT++Q BIOSTAT++Cplus BIOSTAT++Bplus BIOSTAT++STR BIOSTAT++RM BIOSTAT++MD ambr++15 ambr++250 ambr ambr++bioreactor BIOSTAT++D-DCU =Flexsafe Cubitainer Eppendorf =BioFlo BioFlo++110 BioFlo++115 BioFlo++120 BioFlo++320 BioFlo++410 BioFlo++415 BioFlo++510 BioFlo++520 BioFlo++610 BioFlo++710 BioFlo++720 New++Brunswick CelliGen CelliGen++Plus CelliGen++BLU DASGIP DASGIP++Parallel DASGIP++Bioreactor DASbox INFORS++HT Infors++HT =Multifors =Multifors+2 =Labfors =Labfors+5 =Techfors =Techfors-S Minifors Minifors+2 Multitron++Cell Applikon Аппликон =Applikon ez-Control my-Control bio++Console ezControl Mini-Bioreactor =miniBio =MicroBioreactor mini-Bio Cytiva Цитива GE++Healthcare GE++Wave XCellerex XCellerex++XDR Xuri Xuri++Cell++Expansion WAVE++Bioreactor WAVE++Bioreactor++System ReadyToProcess Allegro Allegro++STR Allegro++MR Pall Cytiva++HyClone HyClone++S.U.B. HyClone++S.U.M. HyPerforma HyPerforma++S.U.B. HyPerforma++S.U.F. HyPerforma++HyClone +Mobius Mobius++iFlex Mobius++100L Mobius++200L Mobius++50L Mobius++Bioreactor SciLog Solaris BIOSEP Bionet BBI++Bioreactor++System Distek =BIOne BIOne++1250 BIOne++1500 BIOne++3000 BlueSens BlueInOne BlueLab Diversis +Lambda+Minifor Lambda+Minifor LAMBDA++Minifor MagicBlu Heinkel Buchi midiclave Buchi++miniclave Buchi++midiclave Buchi++Polyclave Buchi++Encapsulator Buchi++Mini++Spray++Dryer pilote++clave +Glas-Col chemglass +Asynt =Asynt ReactoMate ReactoMate++ATLAS ReactoMate++CONTROLLER DrySyn DrySyn++MULTI DrySyn++ULTRA Radleys Радлис =Radleys Reactor-Ready Reactor-Ready++Duo Reactor-Ready++Pilot StarFish Carousel Carousel++6 Carousel++12 Carousel++ASD Mettler-Toledo OptiMax OptiMax++1001 OptiMax++Pro EasyMax EasyMax++102 EasyMax++202 EasyMax++402 EasyMax++HFCal MultiMax MiniBlock MiniBlock++Compact MiniBlock++XT XTAL HEL HEL++ChemSCAN HEL++Polyblock Anton++Paar =Anton+Paar =Monowave Monowave++200 Monowave++300 Monowave++400 Monowave++450 Multiwave Multiwave++Go Multiwave++5000 Multiwave++7000 Multiwave++PRO Multiwave++3000 Multiwave++ECO MAS-100 CEM CEM++Discover Discover++SP Discover++LabMate Discover++Bio Discover++2.0 Discover++S Class Mars++6 Mars++Xpress Mars++2 +Liberty +Liberty+Blue Liberty++Lite Liberty++HT12 Liberty++Prime Milestone Милестоун =Milestone Milestone++Ethos Milestone++START Milestone++MicroSYNTH STARTSynth EthosUP Ethos++X EthosUP++MAX RotoSynth UltraWAVE UltraCLAVE ETHOS Sineo MWS-7 MicroPREP-A=Parr =Parr+4848 =Parr+4566 =Parr+4564 4848 4566 4564 4520 4560 4570 5500 Berghof Бергхоф =Berghof BR-25 BR-50 BR-100 BR-300 BR-500 BR-1000 Berghof++DAB =DAB-2 Berghof++DAB-2 +Anton+Paar+HighPressure</t>
        </is>
      </c>
      <c r="E26" s="4" t="inlineStr">
        <is>
          <t>Базовый (7.1) + отсечь аналитику/молекулярку (7.2)</t>
        </is>
      </c>
      <c r="F26" s="15" t="inlineStr">
        <is>
          <t>ноутбук компьютер сервер принтер картридж++принтер бумага мебель халат маск респиратор дезинфицир моющ++средств клининг уборк ноутбук фоторадар транспорт автомобил автомобиль обществ+мнен охот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конференц+связь дошкольн навигац барометр налогов =ИКТ научн+чтен пылесос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родовспомож холодильник++бытов морозильник++бытов холодильник++пищевой холодильник++торгов холодильник++минимаркет холодильн+ларь холодильн+витрина бытовая++техника промышленн++печь промышленн++реактор промышленн++стерилиз индустриальн++автоклав индустриальн++биореактор УЗИ-аппарат =ЭКГ электрокардиограф эндоскоп рентген++аппарат томограф маммограф флюорограф КТ-аппарат МРТ-аппарат стоматологическ++установк гинекологическ++кресл операционн++стол наркозн++аппарат аппарат++искусствен++вентиляц++легк  хроматограф масс-спектрометр спектрометр секвенатор амплификатор ВЭЖХ HPLC =GC =LC-MS =GC-MS =ICP-MS =ICP-OES =AAS =FTIR =UV-Vis =NGS ПЦР =qPCR =qRT-PCR Illumina NovaSeq MGI DNBSEQ ABI++3500 ANALYZER++DNA генетическ++анализатор анализатор++генетическ</t>
        </is>
      </c>
    </row>
    <row r="27" ht="150" customHeight="1">
      <c r="A27" s="11" t="n">
        <v>22</v>
      </c>
      <c r="B27" s="12" t="inlineStr">
        <is>
          <t>LAB_06_Weighing_Water_pH  (опц.)</t>
        </is>
      </c>
      <c r="C27" s="12" t="inlineStr">
        <is>
          <t>Аналитические/прецизионные весы, системы очистки воды (Milli-Q), pH/EC/O2-метры
Бренды: Mettler-Toledo, Sartorius, OHAUS, Kern, Millipore Milli-Q, ELGA, Hanna, WTW</t>
        </is>
      </c>
      <c r="D27" s="16" t="inlineStr">
        <is>
          <t>весы++аналитическ аналитическ++весы прецизионн++весы лабораторн++весы весы++лабораторн микровесы semi-microbalance ultra-microbalance моментн++весы влагомер влаговесы термогравиметрическ++анализатор моментно-весов Mettler-Toledo Метлер Меттлер-Толедо =Mettler =Mettler+Toledo XPR XPR2U XSE XS ML MS XS104 XS204 XS205 XSR ME Quantos Sartorius Сарториус Cubis Cubis++II Cubis++MCA Practum Entris BCE Secura Quintix Practum Practum124 Practum224 OHAUS Охаус =OHAUS Pioneer Adventurer Explorer Discovery PA64 Pioneer++PX Pioneer++PR Adventurer++AX Explorer++EX AND Эй++энд++Ди A&amp;D GR HR HM HR-150A HR-250A FX-i FZ-i GF Kern =Kern ABT ABS ALJ ALS Радвал WLC Радвал=ВЛР =ВЛР-1М =ВЛР-200 =ВЛТ ВЛТ-150 ВЛТ-510 ВЛТ-510С =ВЛТЭ ВЛТЭ-150 Adam =Adam Equipment Acculab ACOM Cas =Cas Cas++MWP MW-II MW-150 МАССА-К ВК-150 ВК-300 ВК-600 ВК-1500 Sartogosm система++очистк++вод деионизованн++вод деионизованная++вода ультрачист++вод водоочистител водоподготовка++лаборатор лабораторн++водоочиститель сверхчист++вод Type+I Type+II Milli-Q MilliQ Millipore Милли-Кью Milli-Q++Reference Milli-Q++IQ7000 Milli-Q++IQ7003 Milli-Q++IQ7005 Milli-Q++IQ7010 Milli-Q++Direct Milli-Q++Advantage Milli-Q++Integral Milli-Q++Synergy Milli-Q++Ultrapure Synergy Synergy++UV Elix Elix++3 Elix++5 Elix++10 Elix++20 Elix++Essential Sartorius++arium arium++pro arium++mini arium++comfort arium++advance Adrona =Adrona Crystal++E Crystal++EX Crystal++HQ Crystal++Bio Veolia Veolia++ELGA =ELGA =PureLab PureLab++Flex PureLab++Quest PureLab++Ultra Эви-Дист =Эви-Дист Аквилон =Аквилон Аквалаб ДВС-М ДВС-А ДЭ-4 ДЭ-25 АЭ-4 АЭ-25 ДГВС pH-метр кондуктометр оксиметр иономер ОВП-метр анализатор++ионов мультипараметрическ++анализатор Mettler++SevenExcellence Mettler++SevenCompact Mettler++FiveEasy Mettler++FiveGo Hanna++HI =Hanna HI++2002 HI++2020 HI++2210 HI++2211 HI++2215 HI++2300 HI++4221 HI++5221 Edge++HI HQD WTW =WTW inoLab Multi inoLab++pH7110 inoLab++Multi+9420 inoLab++Cond Multi++3410 Эксперт-pH =Эксперт-pH Эксперт-001 Эксперт-002 Адилаб АНИОН-410 АНИОН-7050 АНИОН-7000 Импульс ИПЛ-101 +H'pHANIA +Sartorius +PB pHysica pH++WTW pH-meter pH+meter pH-150 pH-150МИ pH-150И pH-410 pH-410МИ pH-211 pH-301 pH-303 pH-410 pH-420 pH-501 pH-501-50</t>
        </is>
      </c>
      <c r="E27" s="12" t="inlineStr">
        <is>
          <t>Базовый (7.1) + отсечь аналитику/молекулярку (7.2). Доп. отсечь торговые/бытовые весы.</t>
        </is>
      </c>
      <c r="F27" s="16" t="inlineStr">
        <is>
          <t>ноутбук компьютер сервер принтер картридж++принтер бумага мебель халат маск респиратор дезинфицир моющ++средств клининг уборк ноутбук фоторадар транспорт автомобил автомобиль обществ+мнен охот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конференц+связь дошкольн навигац барометр налогов =ИКТ научн+чтен пылесос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родовспомож холодильник++бытов морозильник++бытов холодильник++пищевой холодильник++торгов холодильник++минимаркет холодильн+ларь холодильн+витрина бытовая++техника промышленн++печь промышленн++реактор промышленн++стерилиз индустриальн++автоклав индустриальн++биореактор УЗИ-аппарат =ЭКГ электрокардиограф эндоскоп рентген++аппарат томограф маммограф флюорограф КТ-аппарат МРТ-аппарат стоматологическ++установк гинекологическ++кресл операционн++стол наркозн++аппарат аппарат++искусствен++вентиляц++легк  хроматограф масс-спектрометр спектрометр секвенатор амплификатор ВЭЖХ HPLC =GC =LC-MS =GC-MS =ICP-MS =ICP-OES =AAS =FTIR =UV-Vis =NGS ПЦР =qPCR =qRT-PCR Illumina NovaSeq MGI DNBSEQ ABI++3500 ANALYZER++DNA генетическ++анализатор анализатор++генетическ</t>
        </is>
      </c>
    </row>
    <row r="28">
      <c r="A28" s="13" t="inlineStr">
        <is>
          <t>▎ КЭ / центрифуги / роботизация</t>
        </is>
      </c>
    </row>
    <row r="29" ht="150" customHeight="1">
      <c r="A29" s="14" t="n">
        <v>23</v>
      </c>
      <c r="B29" s="4" t="inlineStr">
        <is>
          <t>CER_01_Capillary_Electrophoresis</t>
        </is>
      </c>
      <c r="C29" s="4" t="inlineStr">
        <is>
          <t>Капиллярный электрофорез НЕ для Sanger (CZE/MEKC/CIEF/CGE) — фарма/биохимия
Бренды: Beckman PA 800 Plus / P-ACE / CESI 8000, Sciex BioPhase 8800, Agilent 7100 CE, Bio-Rad BioFocus, Lumex Капель</t>
        </is>
      </c>
      <c r="D29" s="15" t="inlineStr">
        <is>
          <t>капиллярн++электрофорез электрофорез++капиллярн система++капиллярн++электрофорез прибор++капиллярн++электрофорез капиллярн-электрофоретическ электрофоретическ++капиллярн capillary++electrophoresis =CE-system =CE-MS capillary++electrophoresis-mass++spectrometry CE++MS капиллярн++электрофорез++масс-спектр капиллярн++электрофорез++УФ капиллярн++электрофорез++детектор зонн++электрофорез капиллярн++зонн++электрофорез =CZE =MEKC мицеллярн++электрокинетическ++хроматограф мицеллярн++электрокинетическ капиллярн++изоэлектрофокусирован =CIEF изоэлектрофокусирован capillary++gel++electrophoresis =CGE capillary++isoelectric++focusing =cIEF imaged++capillary++isoelectric++focusing =icIEF капиллярн++изотахофорез =CITP =ITP капиллярн++изотахофорез капиллярн++гель++электрофорез гель-электрофорез контроль++чистот++пептид контроль++чистот++белок размер++пептид размер++белок фрагментн++анализ++белк glycoanalysis гликаны N-гликаны O-гликаны гликопрофилирован charge++heterogeneity charge++variant++analysis IEF-CE Quant-iT++Capillary capillary++sieving++electrophoresis CSE capillary++electrochromatography Beckman++Coulter Бекман-Каултер Beckman++Coulter++CE PA800 =PA+800 PA++800 =PA800+plus PA800++plus PA800++System PA800++Pharmaceutical PA++800 P/ACE++MDQ P/ACE++MDQ+Plus P/ACE++System P/ACE++MDQ++plus++pharmaceutical ProteomeLab++PA+800 ProteomeLab++PF+2D Sciex Сайекс Скаекс =SCIEX SCIEX++BioPhase BioPhase++8800 SCIEX++PA+800 SCIEX++PA+800+Plus SCIEX++CE BioPhase++System Agilent Аджилент =Agilent +Agilent+7100+CE Agilent++7100++CE Agilent++G1600 G7100A 3DCE 3D-CE HPCE Bio-Rad Биорад Био-Рад =Bio-Rad BioFocus BioFocus++3000 BioFocus++2000 BioFocus++3000++CE Lumex Люмекс =Lumex Капель Капель-105 Капель-105М Капель-105М/Т Капель-204 Капель-205 Капель-205-2 Капель-104 Капель-104Т Капель-104М ВЭГА ВЭГА-1М ВЭГА-2М =VEGA Mol++Devices SpectraMax++Capillary CESI++8000 CESI8000 CESI-8000 SCIEX++CESI Beckman++ProteomeLab PostNova =PostNova PostNova++Sciex Lumex++Капель Lumex++Kapel Albagen +Иос +ИЭФ-1 +ИЭФ-1-2 капель-105</t>
        </is>
      </c>
      <c r="E29" s="4" t="inlineStr">
        <is>
          <t>Базовый (7.1) + отсечь Sanger CE и плоский гель-электрофорез (7.2)</t>
        </is>
      </c>
      <c r="F29" s="15" t="inlineStr">
        <is>
          <t>ноутбук компьютер сервер принтер картридж++принтер бумага мебель халат маск респиратор дезинфицир моющ++средств клининг уборк фоторадар транспорт автомобил автомобиль обществ+мнен охот посуд массаж арматур фильтроэлемент фрезер фотоник электроплит масс+отдых криптограф вычисл+техника фонтан крипто парков+простран электрон+очеред судостроен слепоч+масс поток+посетит вентиляц пищеблок конференц+связь дошкольн навигац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газет полуфабр овощ родовспомож  секвенирован++Сэнгер Sanger Sanger++sequencing ABI++3500 ABI++3500xL =3500xl SeqStudio 3130 3130xl 3730 3730xl genetic++analyzer генетическ++анализатор плоск++электрофорез гель-документац гель-документировани камер++горизонтальн++электрофорез камера++горизонтальн++электрофорез камер++вертикальн++электрофорез камера++вертикальн++электрофорез источник++питан++электрофорез =SDS-PAGE PAGE++gel Bio-Rad++Mini-PROTEAN +Mini-PROTEAN+Tetra Bio-Rad++PowerPac PowerPac =PowerPac Bio-Rad++Sub-Cell GE++Hoefer Hoefer++SE600 Cleaver +OWL+Easy-Cast OWL++Easy-Cast Owl+B Owl++Centipede TGX++Stain-Free SubCellGT Sub-Cell+GT Hoefer++ESC++separator Hoefer++Mini-VE</t>
        </is>
      </c>
    </row>
    <row r="30" ht="150" customHeight="1">
      <c r="A30" s="14" t="n">
        <v>24</v>
      </c>
      <c r="B30" s="4" t="inlineStr">
        <is>
          <t>CER_02_Centrifuges</t>
        </is>
      </c>
      <c r="C30" s="4" t="inlineStr">
        <is>
          <t>Лабораторные центрифуги всех классов (настольные, рефрижераторные, ультра, минифуги)
Бренды: Eppendorf 5418–5920R, Hettich, Sigma, Thermo Sorvall/Heraeus, Beckman Avanti/Optima/Allegra, Hermle, Kubota, Hitachi, Liston, ELMI, BioSan, ОПН</t>
        </is>
      </c>
      <c r="D30" s="15" t="inlineStr">
        <is>
          <t>центрифуг центрифуг++лабораторн лабораторн++центрифуг центрифуг++настольн настольн++центрифуг минифуга мини-центрифуг мини++центрифуг центрифуг++для++микропробирок центрифуг++планшетн микропланшетн++центрифуг лабораторн++центрифуг++рефрижератор рефрижераторн++центрифуг охлажда++центрифуг центрифуг++охлажда центрифуг++высокоскоростн центрифуг++универсальн универсальн++центрифуг низкоскоростн++центрифуг среднескоростн++центрифуг ультрацентрифуг ультра-центрифуг центрифуг++ультра препаративн++центрифуг аналитическ++центрифуг скоростн++центрифуг центрифуж++роторы ротор++центрифуг бак-ротор бакет-ротор fixed-angle++rotor swing-out++rotor swing++bucket++rotor laboratory++centrifuge benchtop++centrifuge refrigerated++centrifuge microcentrifuge minicentrifuge ultracentrifuge spin++column tabletop++centrifuge floor-standing++centrifuge high-speed++centrifuge преаналитическ++центрифуг центрифуг++ИКМ Eppendorf Эппендорф =Eppendorf Eppendorf++5418 Eppendorf++5425 Eppendorf++5424 Eppendorf++5424R Eppendorf++5430 Eppendorf++5430R Eppendorf++5427 Eppendorf++5427R Eppendorf++5418R Eppendorf++5702 Eppendorf++5702R Eppendorf++5810 Eppendorf++5810R Eppendorf++5910 Eppendorf++5910R Eppendorf++5910Ri Eppendorf++5920 Eppendorf++5920R Eppendorf++Centrifuge++MiniSpin MiniSpin MiniSpin++plus FastGene Eppendorf++Concentrator++Plus =Vacufuge Hettich Хеттих =Hettich Hettich++Universal++320 Hettich++Universal++320R Hettich++EBA Hettich++EBA+200S Hettich++EBA+280 EBA++21 EBA++200 EBA++280 EBA++270 Mikro++120 Mikro++185 Mikro++200 Mikro++200R Mikro++22 Mikro++220 Mikro++220R Universal++32 Universal++32R Universal++320 Universal++320R Universal++3500 Universal++3000 Rotanta++460 Rotanta++460R Rotanta++460RC Rotina++380 Rotina++380R Rotina++420 Rotina++420R Rotina++35 Rotina++35R Rotofix++32 Rotofix++32A Rotixa++500 Rotixa++50RS Rotixa++50S Roto++Silenta Hettich++Centrifuge++ROTO Sigma Сигма =Sigma Sigma++1-7 Sigma++2-6 Sigma++2-7 Sigma++2-8 Sigma++3-30 Sigma++3-30K Sigma++3-30KS Sigma++3-18K Sigma++3-30KH Sigma++4-15 Sigma++4-16K Sigma++4-16KS Sigma++4-5L Sigma++6-16KS Sigma++6K10 Sigma++6K15 Sigma++6KS Sigma++8-7 Sigma++8KS Sigma++10K Sigma++3-K30 1-14 1-14K 1-15K 2-15 2-15P Thermo++Sorvall Sorvall Сорвал =Sorvall Sorvall++Legend Sorvall++Legend+Micro+17 Sorvall++Legend+Micro+21 Sorvall++Legend+Micro+21R Sorvall++Legend+RT+plus Sorvall++Legend+X1 Sorvall++Legend+X1R Sorvall++Legend+X4 Sorvall++Legend+X4R Sorvall++ST Sorvall++ST+8 Sorvall++ST+16 Sorvall++ST+16R Sorvall++ST+40R Sorvall++Espresso Sorvall++LYNX+4000 Sorvall++LYNX+6000 Sorvall++MX+120 Sorvall++MX+150 Sorvall++MX+150+plus Sorvall++WX+80 Sorvall++WX+90 Sorvall++WX+ultra++100 Sorvall++WX+ultra++90 Sorvall++WX+ultra++100+plus Sorvall++RC+5C Sorvall++RC+6 Sorvall++RC+12BP Sorvall++RC+12 Sorvall++Pico Sorvall++Stratos Sorvall++Heraeus++Multifuge Heraeus++Multifuge++X1 Heraeus++Multifuge++X1R Heraeus++Multifuge++X3 Heraeus++Multifuge++X3R Heraeus++Multifuge++X4 Heraeus++Multifuge++X4R Heraeus++Megafuge Heraeus++Megafuge++8 Heraeus++Megafuge++16 Heraeus++Megafuge++16R Heraeus++Megafuge++40 Heraeus++Megafuge++40R Heraeus++Biofuge Heraeus++Biofuge+Pico Heraeus++Biofuge+Primo Heraeus++Biofuge+Stratos Heraeus++Biofuge+Fresco Beckman++Coulter Beckman Бекман =Beckman Beckman++Avanti Beckman++Avanti++J Beckman++Avanti++J-15 Beckman++Avanti++J-25 Beckman++Avanti++JE Beckman++Avanti++J-26 Beckman++Avanti++JXN Beckman++Avanti++J-30 Beckman++Avanti++J-30I Beckman++Avanti++HP-25 Beckman++Avanti++HP-30 Beckman++Optima Beckman++Optima++L Beckman++Optima++L-90 Beckman++Optima++L-100 Beckman++Optima++LE Beckman++Optima++X Beckman++Optima++XPN Beckman++Optima++XL Beckman++Optima++XE Beckman++Optima++TLX Beckman++Optima++MAX Beckman++Optima++Max-XP Beckman++Optima++MAX-TL Beckman++Allegra Beckman++Allegra++X-12 Beckman++Allegra++X-15 Beckman++Allegra++X-15R Beckman++Allegra++X-22 Beckman++Allegra++X-30 Beckman++Allegra++X-30R Beckman++Microfuge Beckman++Microfuge++16 Beckman++Microfuge++20 Beckman++Microfuge++22R Beckman++Microfuge++22R+plus Beckman++Coulter++GS-6 Beckman++Coulter++GS-6R Beckman++GS-15 Beckman++JS-MC Beckman++Coulter++JE-5.0 Hermle Хермле =Hermle Hermle++Z206A Hermle++Z216-A Hermle++Z216-MK Hermle++Z287-A Hermle++Z326 Hermle++Z326K Hermle++Z366 Hermle++Z366K Hermle++Z383 Hermle++Z383K Hermle++Z446K Hermle++Z446-K Hermle++ZK+200 Hermle++Z36HK Hermle++Z180 Hermle++Z200M Kubota Кубота =Kubota Kubota++3700 Kubota++5400 Kubota++5500 Kubota++5910 Kubota++5910i Kubota++5922 Kubota++6500 Kubota++6800 Kubota++6900 Kubota++KR+22000 Kubota++KS+22000 Kubota++Tabletop++Centrifuge Hitachi Хитачи =Hitachi Hitachi++CP-Series Hitachi++CP+80 Hitachi++CP+100 Hitachi++CP+100MX Hitachi++CR21 Hitachi++CR21G Hitachi++CR22N Hitachi++Centrifuge Hitachi++Himac Heraeus++Sepatech Heraeus++Sepatech++17R ОПН-3 ОПН-3-02 ОПН-3-02-Б ОПН-8 ОПН-8-УХЛ ОПН-8-УХЛ4.2 ЦЛК-1 ЦЛК-1УХЛ4.2 Liston Листон Liston++C+2201 Liston++C+2204 Liston++C+2206 Liston++CM+22 Liston++CM+2406 Liston++C+2401 Liston++C+2406 Liston++C+2406+rotor Армед Армед++ОПН-8 Армед++ОПн-8УХЛ ЦЛМН-Р10-01 ЦЛМН-Р10-01-С ЦЛБ ОС-6М ОС-6Ц-6 ОС-6 ОС-6М5 ЛК-2 ЛК-2М ЛК-2МУ Эленф РПЦ-6 РПЦ-3 РПЦ-12 PCR-Plate++Spinner ELMI Elmi Эльми Elmi++CM-50 Elmi++CM-6M Elmi++CM-6MT Elmi++CM-6M.05 Elmi++CM-6M.07 Elmi++CM-6M.10 Skyline++Centrifuge Sky++Line BIOSAN BIOSAN++Microspin BIOSAN++FVL BIOSAN++LMC-3000 BIOSAN++LMC-4200R BIOSAN++LMC-4200R-2 Spectrafuge Labnet Mini-Star Andrew Mini++Star</t>
        </is>
      </c>
      <c r="E30" s="4" t="inlineStr">
        <is>
          <t>Базовый (7.1) + отсечь промышленные и медицинские-для-крови (7.3)</t>
        </is>
      </c>
      <c r="F30" s="15" t="inlineStr">
        <is>
          <t>ноутбук компьютер сервер принтер картридж++принтер бумага мебель халат маск респиратор дезинфицир моющ++средств клининг уборк фоторадар транспорт автомобил автомобиль обществ+мнен охот посуд массаж арматур фильтроэлемент фрезер фотоник электроплит масс+отдых криптограф вычисл+техника фонтан крипто парков+простран электрон+очеред судостроен слепоч+масс поток+посетит вентиляц пищеблок конференц+связь дошкольн навигац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газет полуфабр овощ родовспомож  промышленн++центрифуг центрифуг++промышленн декантер сепаратор++центробежн молочн++сепаратор центрифуга++для++нефт центрифуга++масл сливкоотделител +декантер +шнек+декантер +трехфазн+декантер биодекантер центрифуг++медицинск медицинск++центрифуг центрифуг++для++крови центрифуг++для++плазм клиническ++центрифуг центрифуг++для++пробирок++крови центрифуг++пакетный +гемоплазмосепаратор плазмосепарирующ</t>
        </is>
      </c>
    </row>
    <row r="31" ht="150" customHeight="1">
      <c r="A31" s="14" t="n">
        <v>25</v>
      </c>
      <c r="B31" s="4" t="inlineStr">
        <is>
          <t>CER_03_Liquid_Handling_Robotics</t>
        </is>
      </c>
      <c r="C31" s="4" t="inlineStr">
        <is>
          <t>Liquid handling роботы, dispensers, автоматизированная NGS-пробоподготовка
Бренды: Tecan EVO/Fluent, Hamilton STAR/Vantage/NIMBUS, Beckman Biomek/Echo, Eppendorf epMotion, Opentrons, Agilent Bravo/AssayMAP, PerkinElmer JANUS/Sciclone, MGI MGISP, Vazyme, Nanodigm IsoFlux</t>
        </is>
      </c>
      <c r="D31" s="15" t="inlineStr">
        <is>
          <t>автоматическ++пробоподготовк автоматизированн++пробоподготовк автоматическ++пипет автоматическ++дозатор автоматическ++дозирован автоматическ++жидкостн автоматическая++жидкостная++станция автоматизированн++жидкостн жидкостн-обрабатывающ++робот робот++жидкостн++операци станц++жидкостн станц++пробоподготовк жидкостн++робот робот++лабораторн лабораторн++робот робот++пипетирован пипетирующ++робот пипетирующ++станц станц++пипетирован liquid++handling liquid++handling++robot liquid-handling++system liquid-handling++platform pipetting++robot automated++pipetting automated++liquid++handling automated++sample++preparation laboratory++automation lab++automation work++station++пипет workstation++liquid robotic++liquid++handling роботизаци++лаборатор автоматизаци++лаборатор LIMS-интеграц LIMS=integration deck++station микропланшетн++роботизаци automated++microplate++station automated++assay automated++ELISA ELISA-станц hit++picking compound++dispensing acoustic++dispensing acoustic++droplet++dispensing acoustic++liquid++handler nanoliter++dispensing piezoelectric++dispenser inkjet++dispenser pin++tool++dispensing colony++picker colony++picking system++bulk++reagent++dispenser bulk++dispenser microplate++washer microplate++dispenser plate++washer plate++dispenser Tecan Текан =Tecan Freedom++EVO Freedom++EVO+75 Freedom++EVO+100 Freedom++EVO+150 Freedom++EVO+200 EVOlyzer EVOWare Fluent Fluent++480 Fluent++780 Fluent++1080 Fluent++ID Tecan++Fluent Tecan++Cavro Tecan++D300 Tecan++D300e Tecan++Spark Tecan++Sunrise Tecan++Infinite Hamilton Гамильтон Хэмилтон =Hamilton Microlab++STAR Microlab++STARlet Microlab++STAR+IVD Microlab++STARplus Microlab++VENUS Microlab++NIMBUS Microlab++NIMBUS+4 Microlab++Prep Microlab++Vantage Vantage Vantage++Liquid++Handling Hamilton++STAR Hamilton++STARlet NGS++Workstation HAM++STAR Easy++Blot Hamilton++Easy++Blot Hamilton++Easy++Punch Beckman++Coulter Beckman++Biomek Biomek++4000 Biomek++FX Biomek++FXP Biomek++NX Biomek++NXP Biomek++NXP+SPAN Biomek++NXP+MC Biomek++NXP+96 Biomek++NXP+384 Biomek++i5 Biomek++i7 Biomek++3000 Beckman++Echo Echo++525 Echo++550 Echo++650 Echo++MS Echo++Liquid++Handler Echo++Acoustic Echo++Qualifier Beckman++Vi-CELL Beckman++Sterile++Connection Eppendorf++epMotion epMotion epMotion++5070 epMotion++5073 epMotion++5075 epMotion++5075t epMotion++5075m epMotion++5075vac epMotion++5070tmx epMotion++5070tmx-PCR epMotion++96 epMotion++M-Series epMotion++Vac epMotion++TMX Eppendorf++ep++Motion Opentrons Опентронс =Opentrons Opentrons++OT-2 Opentrons++Flex Opentrons++OT-3 Opentrons++OT-One OT-2++Liquid Andrew Эндрю Andrew+ Andrew++Pipetting Andrew++Alliance Andrew++Lyovapor Waters++Andrew Waters++Andrew+ Agilent++Bravo Agilent++VWorks Agilent++Bravo++Automated++Liquid++Handling Agilent++Bravo++NGS Agilent++Vertical++Pipetting Agilent++Bravo++SRT Bravo++NGS Bravo++Verity Agilent++AssayMAP Agilent++AssayMAP+Bravo PerkinElmer Перкин++Элмер ПеркинЭлмер PerkinElmer++JANUS PerkinElmer++JANUS++G3 PerkinElmer++JANUS+G3+Pro PerkinElmer++Sciclone Sciclone++G3 Sciclone++ALH Sciclone++NGSx PerkinElmer++Multiprobe PerkinElmer++Zephyr Zephyr++G3 PerkinElmer++MicroDrop PerkinElmer++FlexDrop Flexdrop Hudson++Robotics Hudson++SOLO SOLO++Liquid Hudson++Pickolo Pickolo Molecular++Devices Molecular++Devices++QPix QPix++400 QPix++460 Formulatrix Mantis Mantis++liquid SAS-VLA SciClone Echo++Liquid Beckman++Vi BIO-LIQ Eve PCR-DAW PCR-DAW++Plate+Washer MGI++Tech MGITech MGI++Tech++Co BGI++MGI ЭмДжиАй++Тех МГИ-Тех =MGISP MGISP-100 MGISP-100RS MGISP-960 MGISP-960RS =MGISP-Smart MGISP-Smart++8 MGISP-Smart8 MGISP-NE32 MGISP-NE384 MGI++sample++preparation MGI++pipetting MGI++automated MGI++Stomatic Stomatic Stomatic-100 Stomatic-NGS DNBelab++C4 DNBelab-C4 single-cell++DNBelab MGISTP MGISTP-3000 MGISTP-7000 MGI++sample++transfer ZTRON =ZTRON ZTRON++Lab ZTRON++MAX MGI++ZTRON MGI++automation++platform MGI++workflow++automation MGISP-100++magnetic MGISP-960++magnetic 96-канальн++пипетирующ++MGI Vazyme Вазайм Вазим =Vazyme Vazyme++VAHTS VAHTS++Smart VAHTS++Smart+8 VAHTS-Smart-8 VAHTS++Automated Vazyme++Hieff Hieff++NGS++Smart Hieff++NGS++Auto Hieff++NGS++MaxUp MaxUp =MaxUp Vazyme++MaxUp Vazyme++automated++library Vazyme++automated++NGS Vazyme++auto++library++prep Vazyme++Smart Vazyme++MA-9000 MA-9000 Nanodigm NanoDigm Нанодигм НаноДигм Нанодайм НаноДайм Nanodigm++IsoFlux IsoFlux Nanodigm-1 Nanodigm-А Nanodigm-Анализатор Nanodigm++Analyzer NanoDigm++Analyzer NanoDigm++processor Nanodigm++platform NanoDigm++CTC ЦОК-анализатор Nanodigm++ЦОК Nanodigm++циркулирующих++клеток циркулирующ++опухолев++клетк CTC-анализатор CTC++isolation IsoFlux++System IsoFlux++Rare++Cell Nanodigm++Genomics Nanodigm++Diagnostics Nanodigm++Group</t>
        </is>
      </c>
      <c r="E31" s="4" t="inlineStr">
        <is>
          <t>Базовый (7.1) + отсечь индустриальную робототехнику KUKA/ABB/Fanuc (7.4)</t>
        </is>
      </c>
      <c r="F31" s="15" t="inlineStr">
        <is>
          <t>ноутбук компьютер сервер принтер картридж++принтер бумага мебель халат маск респиратор дезинфицир моющ++средств клининг уборк фоторадар транспорт автомобил автомобиль обществ+мнен охот посуд массаж арматур фильтроэлемент фрезер фотоник электроплит масс+отдых криптограф вычисл+техника фонтан крипто парков+простран электрон+очеред судостроен слепоч+масс поток+посетит вентиляц пищеблок конференц+связь дошкольн навигац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газет полуфабр овощ родовспомож  KUKA ABB++robot Fanuc++robot Universal++Robots сварочн++робот промышленн++робот робот++сборочн робот++паллетирован складск++робот робот++для++производств АРМ++сборщик упаковочн++робот промышленный++манипулятор индустриальн++робот машиностроительн++робот робот++для++покраск +Schunk</t>
        </is>
      </c>
    </row>
  </sheetData>
  <mergeCells count="5">
    <mergeCell ref="A28:F28"/>
    <mergeCell ref="A14:F14"/>
    <mergeCell ref="A1:F1"/>
    <mergeCell ref="A3:F3"/>
    <mergeCell ref="A21:F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showGridLines="0" workbookViewId="0">
      <pane ySplit="2" topLeftCell="A3" activePane="bottomLeft" state="frozen"/>
      <selection pane="bottomLeft" activeCell="A1" sqref="A1"/>
    </sheetView>
  </sheetViews>
  <sheetFormatPr baseColWidth="8" defaultRowHeight="15"/>
  <cols>
    <col width="38" customWidth="1" min="1" max="1"/>
    <col width="55" customWidth="1" min="2" max="2"/>
    <col width="95" customWidth="1" min="3" max="3"/>
  </cols>
  <sheetData>
    <row r="1" ht="28" customHeight="1">
      <c r="A1" s="1" t="inlineStr">
        <is>
          <t>Справочник EXCLUDE-блоков (из них собраны строки на листе INCLUDE+EXCLUDE)</t>
        </is>
      </c>
    </row>
    <row r="2">
      <c r="A2" s="8" t="inlineStr">
        <is>
          <t>Блок</t>
        </is>
      </c>
      <c r="B2" s="8" t="inlineStr">
        <is>
          <t>Где применяется</t>
        </is>
      </c>
      <c r="C2" s="8" t="inlineStr">
        <is>
          <t>Строка</t>
        </is>
      </c>
    </row>
    <row r="3" ht="90" customHeight="1">
      <c r="A3" s="5" t="inlineStr">
        <is>
          <t>Аналитика — общий (разд. 6)</t>
        </is>
      </c>
      <c r="B3" s="4" t="inlineStr">
        <is>
          <t>Все 01–08 (для 09/10 — смягчить)</t>
        </is>
      </c>
      <c r="C3" s="15" t="inlineStr">
        <is>
          <t>реактив реагент антител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автомобиль автомобил кондиционер сантех дым животн набор+лаборатор+диагност пробир газет полуфабр овощ родовспомож подстил+грызун подстил поставк+имуществ контейнер уборк+помещен тестомес автомойк водител вакуумн+уборочн+машин поставк+продукт+питан чищен+картофел крысы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транспорт транспорт+средств ноутбук компьютер сервер принтер картридж++принтер бумага мебель пробирк пипетк наконечник перчатк халат маск респиратор дезинфицир моющ++средств клининг уборк проведение+лаб+исследований =лабораторные+анализы =оказание+услуг+по+лабораторным+исследованиям =оказание+услуг+по+проведению+лабораторных+исследований =услуги+по+проведению+лабораторных+исследований =проведение+лабораторных+анализов =проведение+анализов услуг+проведен+лабораторн+анализ</t>
        </is>
      </c>
    </row>
    <row r="4" ht="90" customHeight="1">
      <c r="A4" s="5" t="inlineStr">
        <is>
          <t>Молекулярка — базовый (7.1)</t>
        </is>
      </c>
      <c r="B4" s="4" t="inlineStr">
        <is>
          <t>Все MDX_01–06</t>
        </is>
      </c>
      <c r="C4" s="15" t="inlineStr">
        <is>
          <t>ноутбук фоторадар транспорт транспорт+средств автомобил автомобиль обществ+мнен охот посуд лабор+посуд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вентиляц пищеблок конференц+связь =гирь =гиря =гель навигац дошкольн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ноутбук компьютер сервер принтер картридж++принтер бумага мебель халат маск респиратор дезинфицир моющ++средств клининг</t>
        </is>
      </c>
    </row>
    <row r="5" ht="90" customHeight="1">
      <c r="A5" s="5" t="inlineStr">
        <is>
          <t>Молекулярка — ПЦР/ИФА/single-cell (7.2)</t>
        </is>
      </c>
      <c r="B5" s="4" t="inlineStr">
        <is>
          <t>MDX_01–04 (НЕ MDX_05/06 целиком)</t>
        </is>
      </c>
      <c r="C5" s="15" t="inlineStr">
        <is>
          <t>ПЦР ПЦР-РВ ПЦР++РВ РТ-ПЦР ОТ-ПЦР =rt-PCR =RT-PCR =qPCR real-time++PCR real++time++PCR ПЦР++реальном++времени полимеразн++цепн++реакц амплификатор термоциклер Rotor-Gene RotorGene CFX96 QuantStudio LightCycler ДТпрайм Дтпрайм Cobas++4800 cobas++z480 PCR++panel PCR++kit ИФА =ELISA иммуноферментн экспресс-тест тест-полос микробиологическ++посев питательн++среда бактериологическ++посев COVID SARS-CoV-2 коронавирус грипп ОРВИ ВИЧ сифилис гепатит туберкулез++ПЦР single-cell single++cell singlecell одноклеточн 10x++Genomics Chromium++Controller Chromium++Next++GEM spatial++transcriptomics пространственн++транскриптом Visium Xenium</t>
        </is>
      </c>
    </row>
    <row r="6" ht="90" customHeight="1">
      <c r="A6" s="5" t="inlineStr">
        <is>
          <t>Молекулярка — узкие PCR-маркеры</t>
        </is>
      </c>
      <c r="B6" s="4" t="inlineStr">
        <is>
          <t>MDX_06, если шумно</t>
        </is>
      </c>
      <c r="C6" s="15" t="inlineStr">
        <is>
          <t>cobas Rotor-Gene LightCycler ДТпрайм CFX96 QuantStudio амплификатор</t>
        </is>
      </c>
    </row>
    <row r="7" ht="90" customHeight="1">
      <c r="A7" s="5" t="inlineStr">
        <is>
          <t>Общелаб — базовый (7.1)</t>
        </is>
      </c>
      <c r="B7" s="4" t="inlineStr">
        <is>
          <t>Все LAB_01–06</t>
        </is>
      </c>
      <c r="C7" s="15" t="inlineStr">
        <is>
          <t>ноутбук компьютер сервер принтер картридж++принтер бумага мебель халат маск респиратор дезинфицир моющ++средств клининг уборк ноутбук фоторадар транспорт автомобил автомобиль обществ+мнен охот массаж арматур фильтроэлемент фрезер фотоник электроплит масс+отдых криптограф криптограф+оборуд вычисл+техника фонтан крипто парков+простран электрон+очеред судостроен слепоч+масс поток+посетит конференц+связь дошкольн навигац барометр налогов =ИКТ научн+чтен пылесос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вакуум+убороч+шасси газет полуфабр овощ родовспомож холодильник++бытов морозильник++бытов холодильник++пищевой холодильник++торгов холодильник++минимаркет холодильн+ларь холодильн+витрина бытовая++техника промышленн++печь промышленн++реактор промышленн++стерилиз индустриальн++автоклав индустриальн++биореактор УЗИ-аппарат =ЭКГ электрокардиограф эндоскоп рентген++аппарат томограф маммограф флюорограф КТ-аппарат МРТ-аппарат стоматологическ++установк гинекологическ++кресл операционн++стол наркозн++аппарат аппарат++искусствен++вентиляц++легк</t>
        </is>
      </c>
    </row>
    <row r="8" ht="90" customHeight="1">
      <c r="A8" s="5" t="inlineStr">
        <is>
          <t>Общелаб — отсечь аналитику/молекулярку (7.2)</t>
        </is>
      </c>
      <c r="B8" s="4" t="inlineStr">
        <is>
          <t>Все LAB_01–06</t>
        </is>
      </c>
      <c r="C8" s="15" t="inlineStr">
        <is>
          <t>хроматограф масс-спектрометр спектрометр секвенатор амплификатор ВЭЖХ HPLC =GC =LC-MS =GC-MS =ICP-MS =ICP-OES =AAS =FTIR =UV-Vis =NGS ПЦР =qPCR =qRT-PCR Illumina NovaSeq MGI DNBSEQ ABI++3500 ANALYZER++DNA генетическ++анализатор анализатор++генетическ</t>
        </is>
      </c>
    </row>
    <row r="9" ht="90" customHeight="1">
      <c r="A9" s="5" t="inlineStr">
        <is>
          <t>КЭ/центрифуги/роботы — базовый (7.1)</t>
        </is>
      </c>
      <c r="B9" s="4" t="inlineStr">
        <is>
          <t>Все CER_01–03</t>
        </is>
      </c>
      <c r="C9" s="15" t="inlineStr">
        <is>
          <t>ноутбук компьютер сервер принтер картридж++принтер бумага мебель халат маск респиратор дезинфицир моющ++средств клининг уборк фоторадар транспорт автомобил автомобиль обществ+мнен охот посуд массаж арматур фильтроэлемент фрезер фотоник электроплит масс+отдых криптограф вычисл+техника фонтан крипто парков+простран электрон+очеред судостроен слепоч+масс поток+посетит вентиляц пищеблок конференц+связь дошкольн навигац барометр налогов =ИКТ научн+чтен пылесос искусств+вентиляц+легк пьезоэлектрич проектор кондиционер сантех дым подстил+грызун подстил поставк+имуществ контейнер уборк+помещен тестомес автомойк водител вакуумн+уборочн+машин поставк+продукт+питан чищен+картофел проведен+гигиенич+подготовк перчатки+химич+стойк погрузк+грузов+вагон клининг+услуг огнезащитн+обработк расчетн+графич+станц комплексн+уборк+помещен газет полуфабр овощ родовспомож</t>
        </is>
      </c>
    </row>
    <row r="10" ht="90" customHeight="1">
      <c r="A10" s="5" t="inlineStr">
        <is>
          <t>CER_01 — Sanger + плоский гель (7.2)</t>
        </is>
      </c>
      <c r="B10" s="4" t="inlineStr">
        <is>
          <t>CER_01</t>
        </is>
      </c>
      <c r="C10" s="15" t="inlineStr">
        <is>
          <t>секвенирован++Сэнгер Sanger Sanger++sequencing ABI++3500 ABI++3500xL =3500xl SeqStudio 3130 3130xl 3730 3730xl genetic++analyzer генетическ++анализатор плоск++электрофорез гель-документац гель-документировани камер++горизонтальн++электрофорез камера++горизонтальн++электрофорез камер++вертикальн++электрофорез камера++вертикальн++электрофорез источник++питан++электрофорез =SDS-PAGE PAGE++gel Bio-Rad++Mini-PROTEAN +Mini-PROTEAN+Tetra Bio-Rad++PowerPac PowerPac =PowerPac Bio-Rad++Sub-Cell GE++Hoefer Hoefer++SE600 Cleaver +OWL+Easy-Cast OWL++Easy-Cast Owl+B Owl++Centipede TGX++Stain-Free SubCellGT Sub-Cell+GT Hoefer++ESC++separator Hoefer++Mini-VE</t>
        </is>
      </c>
    </row>
    <row r="11" ht="90" customHeight="1">
      <c r="A11" s="5" t="inlineStr">
        <is>
          <t>CER_02 — промышл./мед.-кровь (7.3)</t>
        </is>
      </c>
      <c r="B11" s="4" t="inlineStr">
        <is>
          <t>CER_02</t>
        </is>
      </c>
      <c r="C11" s="15" t="inlineStr">
        <is>
          <t>промышленн++центрифуг центрифуг++промышленн декантер сепаратор++центробежн молочн++сепаратор центрифуга++для++нефт центрифуга++масл сливкоотделител +декантер +шнек+декантер +трехфазн+декантер биодекантер центрифуг++медицинск медицинск++центрифуг центрифуг++для++крови центрифуг++для++плазм клиническ++центрифуг центрифуг++для++пробирок++крови центрифуг++пакетный +гемоплазмосепаратор плазмосепарирующ</t>
        </is>
      </c>
    </row>
    <row r="12" ht="90" customHeight="1">
      <c r="A12" s="5" t="inlineStr">
        <is>
          <t>CER_03 — индустр. робототехника (7.4)</t>
        </is>
      </c>
      <c r="B12" s="4" t="inlineStr">
        <is>
          <t>CER_03</t>
        </is>
      </c>
      <c r="C12" s="15" t="inlineStr">
        <is>
          <t>KUKA ABB++robot Fanuc++robot Universal++Robots сварочн++робот промышленн++робот робот++сборочн робот++паллетирован складск++робот робот++для++производств АРМ++сборщик упаковочн++робот промышленный++манипулятор индустриальн++робот машиностроительн++робот робот++для++покраск +Schunk</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2026-05-25T13:49:05Z</dcterms:created>
  <dcterms:modified xmlns:dcterms="http://purl.org/dc/terms/" xmlns:xsi="http://www.w3.org/2001/XMLSchema-instance" xsi:type="dcterms:W3CDTF">2026-05-25T13:49:05Z</dcterms:modified>
</cp:coreProperties>
</file>